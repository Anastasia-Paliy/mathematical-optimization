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drawings/drawing2.xml" ContentType="application/vnd.openxmlformats-officedocument.drawing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User\Documents\Методы оптимизации\mathematical-optimization\"/>
    </mc:Choice>
  </mc:AlternateContent>
  <xr:revisionPtr revIDLastSave="0" documentId="13_ncr:1_{BD3FEDA2-3B20-4C6B-91F1-01DA2A03564F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Balance (start)" sheetId="1" r:id="rId1"/>
    <sheet name="Balance (opt)" sheetId="3" r:id="rId2"/>
    <sheet name="Unbalance (start)" sheetId="5" r:id="rId3"/>
    <sheet name="Unbalance (opt)" sheetId="6" r:id="rId4"/>
  </sheets>
  <definedNames>
    <definedName name="solver_eng" localSheetId="1" hidden="1">1</definedName>
    <definedName name="solver_eng" localSheetId="3" hidden="1">1</definedName>
    <definedName name="solver_neg" localSheetId="1" hidden="1">1</definedName>
    <definedName name="solver_neg" localSheetId="3" hidden="1">1</definedName>
    <definedName name="solver_num" localSheetId="1" hidden="1">0</definedName>
    <definedName name="solver_num" localSheetId="3" hidden="1">0</definedName>
    <definedName name="solver_opt" localSheetId="1" hidden="1">'Balance (opt)'!$G$13</definedName>
    <definedName name="solver_opt" localSheetId="3" hidden="1">'Unbalance (opt)'!$G$13</definedName>
    <definedName name="solver_typ" localSheetId="1" hidden="1">3</definedName>
    <definedName name="solver_typ" localSheetId="3" hidden="1">3</definedName>
    <definedName name="solver_val" localSheetId="1" hidden="1">0</definedName>
    <definedName name="solver_val" localSheetId="3" hidden="1">0</definedName>
    <definedName name="solver_ver" localSheetId="1" hidden="1">3</definedName>
    <definedName name="solver_ver" localSheetId="3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53" i="6" l="1"/>
  <c r="N53" i="6"/>
  <c r="M53" i="6"/>
  <c r="L53" i="6"/>
  <c r="K53" i="6"/>
  <c r="P52" i="6"/>
  <c r="P51" i="6"/>
  <c r="P50" i="6"/>
  <c r="P49" i="6"/>
  <c r="P48" i="6"/>
  <c r="Q46" i="6" a="1"/>
  <c r="Q46" i="6" s="1"/>
  <c r="Y44" i="6"/>
  <c r="X44" i="6"/>
  <c r="W44" i="6"/>
  <c r="V44" i="6"/>
  <c r="U44" i="6"/>
  <c r="O44" i="6"/>
  <c r="N44" i="6"/>
  <c r="M44" i="6"/>
  <c r="L44" i="6"/>
  <c r="K44" i="6"/>
  <c r="Z43" i="6"/>
  <c r="P43" i="6"/>
  <c r="Z42" i="6"/>
  <c r="P42" i="6"/>
  <c r="Z41" i="6"/>
  <c r="P41" i="6"/>
  <c r="Z40" i="6"/>
  <c r="P40" i="6"/>
  <c r="Z39" i="6"/>
  <c r="P39" i="6"/>
  <c r="AA37" i="6" a="1"/>
  <c r="AA37" i="6" s="1"/>
  <c r="Q37" i="6" a="1"/>
  <c r="Q37" i="6" s="1"/>
  <c r="Y35" i="6"/>
  <c r="X35" i="6"/>
  <c r="W35" i="6"/>
  <c r="V35" i="6"/>
  <c r="U35" i="6"/>
  <c r="O35" i="6"/>
  <c r="N35" i="6"/>
  <c r="M35" i="6"/>
  <c r="L35" i="6"/>
  <c r="K35" i="6"/>
  <c r="Z34" i="6"/>
  <c r="P34" i="6"/>
  <c r="Z33" i="6"/>
  <c r="P33" i="6"/>
  <c r="Z32" i="6"/>
  <c r="P32" i="6"/>
  <c r="Z31" i="6"/>
  <c r="P31" i="6"/>
  <c r="Z30" i="6"/>
  <c r="P30" i="6"/>
  <c r="AA28" i="6" a="1"/>
  <c r="AA28" i="6" s="1"/>
  <c r="Q28" i="6" a="1"/>
  <c r="Q28" i="6" s="1"/>
  <c r="Y26" i="6"/>
  <c r="X26" i="6"/>
  <c r="W26" i="6"/>
  <c r="V26" i="6"/>
  <c r="U26" i="6"/>
  <c r="O26" i="6"/>
  <c r="N26" i="6"/>
  <c r="M26" i="6"/>
  <c r="L26" i="6"/>
  <c r="K26" i="6"/>
  <c r="Z25" i="6"/>
  <c r="P25" i="6"/>
  <c r="Z24" i="6"/>
  <c r="P24" i="6"/>
  <c r="Z23" i="6"/>
  <c r="P23" i="6"/>
  <c r="Z22" i="6"/>
  <c r="P22" i="6"/>
  <c r="Z21" i="6"/>
  <c r="P21" i="6"/>
  <c r="AA19" i="6" a="1"/>
  <c r="AA19" i="6" s="1"/>
  <c r="Q19" i="6" a="1"/>
  <c r="Q19" i="6" s="1"/>
  <c r="G8" i="6"/>
  <c r="Y17" i="6"/>
  <c r="X17" i="6"/>
  <c r="W17" i="6"/>
  <c r="V17" i="6"/>
  <c r="U17" i="6"/>
  <c r="O17" i="6"/>
  <c r="N17" i="6"/>
  <c r="M17" i="6"/>
  <c r="L17" i="6"/>
  <c r="K17" i="6"/>
  <c r="Z16" i="6"/>
  <c r="P16" i="6"/>
  <c r="Z15" i="6"/>
  <c r="P15" i="6"/>
  <c r="Z14" i="6"/>
  <c r="P14" i="6"/>
  <c r="Z13" i="6"/>
  <c r="P13" i="6"/>
  <c r="Z12" i="6"/>
  <c r="P12" i="6"/>
  <c r="AA10" i="6" a="1"/>
  <c r="AA10" i="6" s="1"/>
  <c r="Q10" i="6" a="1"/>
  <c r="Q10" i="6" s="1"/>
  <c r="O8" i="6"/>
  <c r="N8" i="6"/>
  <c r="M8" i="6"/>
  <c r="L8" i="6"/>
  <c r="K8" i="6"/>
  <c r="P7" i="6"/>
  <c r="P6" i="6"/>
  <c r="P5" i="6"/>
  <c r="P4" i="6"/>
  <c r="P3" i="6"/>
  <c r="R1" i="6"/>
  <c r="Q1" i="6" a="1"/>
  <c r="Q1" i="6" s="1"/>
  <c r="AK1" i="5" a="1"/>
  <c r="AK1" i="5" s="1"/>
  <c r="AA1" i="5" a="1"/>
  <c r="AA1" i="5" s="1"/>
  <c r="Q1" i="5" a="1"/>
  <c r="Q1" i="5" s="1"/>
  <c r="G18" i="5"/>
  <c r="AI8" i="5"/>
  <c r="AH8" i="5"/>
  <c r="AG8" i="5"/>
  <c r="AF8" i="5"/>
  <c r="AE8" i="5"/>
  <c r="Y8" i="5"/>
  <c r="X8" i="5"/>
  <c r="W8" i="5"/>
  <c r="V8" i="5"/>
  <c r="U8" i="5"/>
  <c r="O8" i="5"/>
  <c r="N8" i="5"/>
  <c r="M8" i="5"/>
  <c r="L8" i="5"/>
  <c r="K8" i="5"/>
  <c r="B8" i="5" a="1"/>
  <c r="B8" i="5" s="1"/>
  <c r="G8" i="5" s="1"/>
  <c r="AJ7" i="5"/>
  <c r="Z7" i="5"/>
  <c r="P7" i="5"/>
  <c r="AJ6" i="5"/>
  <c r="Z6" i="5"/>
  <c r="P6" i="5"/>
  <c r="AJ5" i="5"/>
  <c r="Z5" i="5"/>
  <c r="P5" i="5"/>
  <c r="AJ4" i="5"/>
  <c r="Z4" i="5"/>
  <c r="P4" i="5"/>
  <c r="AJ3" i="5"/>
  <c r="Z3" i="5"/>
  <c r="P3" i="5"/>
  <c r="AL1" i="5"/>
  <c r="AB1" i="5"/>
  <c r="R1" i="5"/>
  <c r="O62" i="3" l="1"/>
  <c r="N62" i="3"/>
  <c r="M62" i="3"/>
  <c r="L62" i="3"/>
  <c r="K62" i="3"/>
  <c r="P61" i="3"/>
  <c r="P60" i="3"/>
  <c r="P59" i="3"/>
  <c r="P58" i="3"/>
  <c r="P57" i="3"/>
  <c r="Q55" i="3" a="1"/>
  <c r="Q55" i="3" s="1"/>
  <c r="Y53" i="3"/>
  <c r="X53" i="3"/>
  <c r="W53" i="3"/>
  <c r="V53" i="3"/>
  <c r="U53" i="3"/>
  <c r="O53" i="3"/>
  <c r="N53" i="3"/>
  <c r="M53" i="3"/>
  <c r="L53" i="3"/>
  <c r="K53" i="3"/>
  <c r="Z52" i="3"/>
  <c r="P52" i="3"/>
  <c r="Z51" i="3"/>
  <c r="P51" i="3"/>
  <c r="Z50" i="3"/>
  <c r="P50" i="3"/>
  <c r="Z49" i="3"/>
  <c r="P49" i="3"/>
  <c r="Z48" i="3"/>
  <c r="P48" i="3"/>
  <c r="AA46" i="3" a="1"/>
  <c r="AA46" i="3" s="1"/>
  <c r="Q46" i="3" a="1"/>
  <c r="Q46" i="3" s="1"/>
  <c r="Y44" i="3"/>
  <c r="X44" i="3"/>
  <c r="W44" i="3"/>
  <c r="V44" i="3"/>
  <c r="U44" i="3"/>
  <c r="O44" i="3"/>
  <c r="N44" i="3"/>
  <c r="M44" i="3"/>
  <c r="L44" i="3"/>
  <c r="K44" i="3"/>
  <c r="Z43" i="3"/>
  <c r="P43" i="3"/>
  <c r="Z42" i="3"/>
  <c r="P42" i="3"/>
  <c r="Z41" i="3"/>
  <c r="P41" i="3"/>
  <c r="Z40" i="3"/>
  <c r="P40" i="3"/>
  <c r="Z39" i="3"/>
  <c r="P39" i="3"/>
  <c r="AA37" i="3" a="1"/>
  <c r="AA37" i="3" s="1"/>
  <c r="Q37" i="3" a="1"/>
  <c r="Q37" i="3" s="1"/>
  <c r="Y35" i="3"/>
  <c r="X35" i="3"/>
  <c r="W35" i="3"/>
  <c r="V35" i="3"/>
  <c r="U35" i="3"/>
  <c r="O35" i="3"/>
  <c r="N35" i="3"/>
  <c r="M35" i="3"/>
  <c r="L35" i="3"/>
  <c r="K35" i="3"/>
  <c r="Z34" i="3"/>
  <c r="P34" i="3"/>
  <c r="Z33" i="3"/>
  <c r="P33" i="3"/>
  <c r="Z32" i="3"/>
  <c r="P32" i="3"/>
  <c r="Z31" i="3"/>
  <c r="P31" i="3"/>
  <c r="Z30" i="3"/>
  <c r="P30" i="3"/>
  <c r="AA28" i="3" a="1"/>
  <c r="AA28" i="3" s="1"/>
  <c r="Q28" i="3" a="1"/>
  <c r="Q28" i="3" s="1"/>
  <c r="Y26" i="3"/>
  <c r="X26" i="3"/>
  <c r="W26" i="3"/>
  <c r="V26" i="3"/>
  <c r="U26" i="3"/>
  <c r="O26" i="3"/>
  <c r="N26" i="3"/>
  <c r="M26" i="3"/>
  <c r="L26" i="3"/>
  <c r="K26" i="3"/>
  <c r="Z25" i="3"/>
  <c r="P25" i="3"/>
  <c r="Z24" i="3"/>
  <c r="P24" i="3"/>
  <c r="Z23" i="3"/>
  <c r="P23" i="3"/>
  <c r="Z22" i="3"/>
  <c r="P22" i="3"/>
  <c r="Z21" i="3"/>
  <c r="P21" i="3"/>
  <c r="AA19" i="3" a="1"/>
  <c r="AA19" i="3" s="1"/>
  <c r="Q19" i="3" a="1"/>
  <c r="Q19" i="3" s="1"/>
  <c r="Y17" i="3"/>
  <c r="X17" i="3"/>
  <c r="W17" i="3"/>
  <c r="V17" i="3"/>
  <c r="U17" i="3"/>
  <c r="Z16" i="3"/>
  <c r="Z15" i="3"/>
  <c r="Z14" i="3"/>
  <c r="Z13" i="3"/>
  <c r="Z12" i="3"/>
  <c r="AA10" i="3" a="1"/>
  <c r="AA10" i="3" s="1"/>
  <c r="Q10" i="3" a="1"/>
  <c r="Q10" i="3" s="1"/>
  <c r="O17" i="3"/>
  <c r="N17" i="3"/>
  <c r="M17" i="3"/>
  <c r="L17" i="3"/>
  <c r="K17" i="3"/>
  <c r="P16" i="3"/>
  <c r="P15" i="3"/>
  <c r="P14" i="3"/>
  <c r="P13" i="3"/>
  <c r="P12" i="3"/>
  <c r="Q1" i="3" a="1"/>
  <c r="Q1" i="3" s="1"/>
  <c r="AK1" i="1" a="1"/>
  <c r="AK1" i="1" s="1"/>
  <c r="AA1" i="1" a="1"/>
  <c r="AA1" i="1" s="1"/>
  <c r="Q1" i="1" a="1"/>
  <c r="Q1" i="1" s="1"/>
  <c r="AE10" i="1" a="1"/>
  <c r="AE10" i="1" s="1"/>
  <c r="U10" i="1" a="1"/>
  <c r="U10" i="1" s="1"/>
  <c r="K10" i="1" a="1"/>
  <c r="K10" i="1" s="1"/>
  <c r="K8" i="3"/>
  <c r="L8" i="3"/>
  <c r="M8" i="3"/>
  <c r="N8" i="3"/>
  <c r="O8" i="3"/>
  <c r="P3" i="3"/>
  <c r="P4" i="3"/>
  <c r="P5" i="3"/>
  <c r="P6" i="3"/>
  <c r="P7" i="3"/>
  <c r="R1" i="3"/>
  <c r="AI8" i="1"/>
  <c r="AH8" i="1"/>
  <c r="AG8" i="1"/>
  <c r="AF8" i="1"/>
  <c r="AE8" i="1"/>
  <c r="AJ7" i="1"/>
  <c r="AJ6" i="1"/>
  <c r="AJ5" i="1"/>
  <c r="AJ4" i="1"/>
  <c r="AJ3" i="1"/>
  <c r="AL1" i="1"/>
  <c r="R1" i="1"/>
  <c r="AB1" i="1"/>
  <c r="Y8" i="1"/>
  <c r="X8" i="1"/>
  <c r="W8" i="1"/>
  <c r="V8" i="1"/>
  <c r="U8" i="1"/>
  <c r="Z7" i="1"/>
  <c r="Z6" i="1"/>
  <c r="Z5" i="1"/>
  <c r="Z4" i="1"/>
  <c r="Z3" i="1"/>
  <c r="P4" i="1"/>
  <c r="P5" i="1"/>
  <c r="P6" i="1"/>
  <c r="P7" i="1"/>
  <c r="P3" i="1"/>
  <c r="L8" i="1"/>
  <c r="M8" i="1"/>
  <c r="N8" i="1"/>
  <c r="O8" i="1"/>
  <c r="K8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<sst xmlns="http://schemas.openxmlformats.org/spreadsheetml/2006/main" count="554" uniqueCount="22">
  <si>
    <t>A1</t>
  </si>
  <si>
    <t>A2</t>
  </si>
  <si>
    <t>A3</t>
  </si>
  <si>
    <t>A4</t>
  </si>
  <si>
    <t>A5</t>
  </si>
  <si>
    <t>B1</t>
  </si>
  <si>
    <t>B2</t>
  </si>
  <si>
    <t>B3</t>
  </si>
  <si>
    <t>B4</t>
  </si>
  <si>
    <t>B5</t>
  </si>
  <si>
    <t>bj</t>
  </si>
  <si>
    <t>ai</t>
  </si>
  <si>
    <t>Исходная таблица</t>
  </si>
  <si>
    <t>Метод северо-западного угла</t>
  </si>
  <si>
    <t>Метод минимального элемента</t>
  </si>
  <si>
    <t>Метод Фогеля</t>
  </si>
  <si>
    <t>tax</t>
  </si>
  <si>
    <t>Результат перемещения груза по циклу</t>
  </si>
  <si>
    <t>Оптимальное решение</t>
  </si>
  <si>
    <t>Начальное допустимое решение</t>
  </si>
  <si>
    <t>Цикл</t>
  </si>
  <si>
    <t>Сбалансированная таблица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</si>
</sst>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Обычный" xfId="0" builtinId="0"/>
  </cellStyles>
  <dxfs count="58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customXml" Target="../ink/ink7.xml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12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customXml" Target="../ink/ink6.xml"/><Relationship Id="rId5" Type="http://schemas.openxmlformats.org/officeDocument/2006/relationships/customXml" Target="../ink/ink3.xm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4" Type="http://schemas.openxmlformats.org/officeDocument/2006/relationships/image" Target="../media/image7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13" Type="http://schemas.openxmlformats.org/officeDocument/2006/relationships/image" Target="../media/image13.png"/><Relationship Id="rId18" Type="http://schemas.openxmlformats.org/officeDocument/2006/relationships/customXml" Target="../ink/ink17.xml"/><Relationship Id="rId3" Type="http://schemas.openxmlformats.org/officeDocument/2006/relationships/customXml" Target="../ink/ink9.xml"/><Relationship Id="rId7" Type="http://schemas.openxmlformats.org/officeDocument/2006/relationships/customXml" Target="../ink/ink11.xml"/><Relationship Id="rId12" Type="http://schemas.openxmlformats.org/officeDocument/2006/relationships/customXml" Target="../ink/ink14.xml"/><Relationship Id="rId17" Type="http://schemas.openxmlformats.org/officeDocument/2006/relationships/image" Target="../media/image15.png"/><Relationship Id="rId2" Type="http://schemas.openxmlformats.org/officeDocument/2006/relationships/image" Target="../media/image8.png"/><Relationship Id="rId16" Type="http://schemas.openxmlformats.org/officeDocument/2006/relationships/customXml" Target="../ink/ink16.xml"/><Relationship Id="rId1" Type="http://schemas.openxmlformats.org/officeDocument/2006/relationships/customXml" Target="../ink/ink8.xml"/><Relationship Id="rId6" Type="http://schemas.openxmlformats.org/officeDocument/2006/relationships/image" Target="../media/image10.png"/><Relationship Id="rId11" Type="http://schemas.openxmlformats.org/officeDocument/2006/relationships/customXml" Target="../ink/ink13.xml"/><Relationship Id="rId5" Type="http://schemas.openxmlformats.org/officeDocument/2006/relationships/customXml" Target="../ink/ink10.xml"/><Relationship Id="rId15" Type="http://schemas.openxmlformats.org/officeDocument/2006/relationships/image" Target="../media/image14.png"/><Relationship Id="rId10" Type="http://schemas.openxmlformats.org/officeDocument/2006/relationships/image" Target="../media/image12.png"/><Relationship Id="rId19" Type="http://schemas.openxmlformats.org/officeDocument/2006/relationships/image" Target="../media/image16.png"/><Relationship Id="rId4" Type="http://schemas.openxmlformats.org/officeDocument/2006/relationships/image" Target="../media/image9.png"/><Relationship Id="rId9" Type="http://schemas.openxmlformats.org/officeDocument/2006/relationships/customXml" Target="../ink/ink12.xml"/><Relationship Id="rId14" Type="http://schemas.openxmlformats.org/officeDocument/2006/relationships/customXml" Target="../ink/ink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11</xdr:row>
      <xdr:rowOff>184150</xdr:rowOff>
    </xdr:from>
    <xdr:to>
      <xdr:col>3</xdr:col>
      <xdr:colOff>209550</xdr:colOff>
      <xdr:row>13</xdr:row>
      <xdr:rowOff>222250</xdr:rowOff>
    </xdr:to>
    <xdr:sp macro="" textlink="">
      <xdr:nvSpPr>
        <xdr:cNvPr id="2" name="Прямоугольник 1">
          <a:extLst>
            <a:ext uri="{FF2B5EF4-FFF2-40B4-BE49-F238E27FC236}">
              <a16:creationId xmlns:a16="http://schemas.microsoft.com/office/drawing/2014/main" id="{8A647519-31E6-31DB-CB2C-9F7867E50EEF}"/>
            </a:ext>
          </a:extLst>
        </xdr:cNvPr>
        <xdr:cNvSpPr/>
      </xdr:nvSpPr>
      <xdr:spPr>
        <a:xfrm>
          <a:off x="571500" y="4375150"/>
          <a:ext cx="781050" cy="800100"/>
        </a:xfrm>
        <a:prstGeom prst="rect">
          <a:avLst/>
        </a:prstGeom>
        <a:noFill/>
        <a:ln>
          <a:prstDash val="dash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158750</xdr:colOff>
      <xdr:row>11</xdr:row>
      <xdr:rowOff>184150</xdr:rowOff>
    </xdr:from>
    <xdr:to>
      <xdr:col>12</xdr:col>
      <xdr:colOff>177800</xdr:colOff>
      <xdr:row>13</xdr:row>
      <xdr:rowOff>222250</xdr:rowOff>
    </xdr:to>
    <xdr:sp macro="" textlink="">
      <xdr:nvSpPr>
        <xdr:cNvPr id="3" name="Прямоугольник 2">
          <a:extLst>
            <a:ext uri="{FF2B5EF4-FFF2-40B4-BE49-F238E27FC236}">
              <a16:creationId xmlns:a16="http://schemas.microsoft.com/office/drawing/2014/main" id="{A6A3FA5E-9483-42DB-9974-49E769BEE193}"/>
            </a:ext>
          </a:extLst>
        </xdr:cNvPr>
        <xdr:cNvSpPr/>
      </xdr:nvSpPr>
      <xdr:spPr>
        <a:xfrm>
          <a:off x="3968750" y="4375150"/>
          <a:ext cx="781050" cy="800100"/>
        </a:xfrm>
        <a:prstGeom prst="rect">
          <a:avLst/>
        </a:prstGeom>
        <a:noFill/>
        <a:ln>
          <a:prstDash val="dash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 editAs="oneCell">
    <xdr:from>
      <xdr:col>3</xdr:col>
      <xdr:colOff>222120</xdr:colOff>
      <xdr:row>22</xdr:row>
      <xdr:rowOff>196440</xdr:rowOff>
    </xdr:from>
    <xdr:to>
      <xdr:col>5</xdr:col>
      <xdr:colOff>344280</xdr:colOff>
      <xdr:row>24</xdr:row>
      <xdr:rowOff>237960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">
          <xdr14:nvContentPartPr>
            <xdr14:cNvPr id="7" name="Рукописный ввод 6">
              <a:extLst>
                <a:ext uri="{FF2B5EF4-FFF2-40B4-BE49-F238E27FC236}">
                  <a16:creationId xmlns:a16="http://schemas.microsoft.com/office/drawing/2014/main" id="{61B6C0C3-534E-BBB2-65B6-2F2EDDC85665}"/>
                </a:ext>
              </a:extLst>
            </xdr14:cNvPr>
            <xdr14:cNvContentPartPr/>
          </xdr14:nvContentPartPr>
          <xdr14:nvPr macro=""/>
          <xdr14:xfrm>
            <a:off x="1365120" y="8578440"/>
            <a:ext cx="884160" cy="803520"/>
          </xdr14:xfrm>
        </xdr:contentPart>
      </mc:Choice>
      <mc:Fallback>
        <xdr:pic>
          <xdr:nvPicPr>
            <xdr:cNvPr id="7" name="Рукописный ввод 6">
              <a:extLst>
                <a:ext uri="{FF2B5EF4-FFF2-40B4-BE49-F238E27FC236}">
                  <a16:creationId xmlns:a16="http://schemas.microsoft.com/office/drawing/2014/main" id="{61B6C0C3-534E-BBB2-65B6-2F2EDDC8566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56120" y="8524800"/>
              <a:ext cx="901800" cy="91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158160</xdr:colOff>
      <xdr:row>20</xdr:row>
      <xdr:rowOff>157080</xdr:rowOff>
    </xdr:from>
    <xdr:to>
      <xdr:col>5</xdr:col>
      <xdr:colOff>292440</xdr:colOff>
      <xdr:row>24</xdr:row>
      <xdr:rowOff>241200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">
          <xdr14:nvContentPartPr>
            <xdr14:cNvPr id="8" name="Рукописный ввод 7">
              <a:extLst>
                <a:ext uri="{FF2B5EF4-FFF2-40B4-BE49-F238E27FC236}">
                  <a16:creationId xmlns:a16="http://schemas.microsoft.com/office/drawing/2014/main" id="{D72B83B8-5EDA-301B-5076-854F6EDC4097}"/>
                </a:ext>
              </a:extLst>
            </xdr14:cNvPr>
            <xdr14:cNvContentPartPr/>
          </xdr14:nvContentPartPr>
          <xdr14:nvPr macro=""/>
          <xdr14:xfrm>
            <a:off x="920160" y="7777080"/>
            <a:ext cx="1277280" cy="1608120"/>
          </xdr14:xfrm>
        </xdr:contentPart>
      </mc:Choice>
      <mc:Fallback>
        <xdr:pic>
          <xdr:nvPicPr>
            <xdr:cNvPr id="8" name="Рукописный ввод 7">
              <a:extLst>
                <a:ext uri="{FF2B5EF4-FFF2-40B4-BE49-F238E27FC236}">
                  <a16:creationId xmlns:a16="http://schemas.microsoft.com/office/drawing/2014/main" id="{D72B83B8-5EDA-301B-5076-854F6EDC409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11160" y="7723440"/>
              <a:ext cx="1294920" cy="1715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158620</xdr:colOff>
      <xdr:row>22</xdr:row>
      <xdr:rowOff>190090</xdr:rowOff>
    </xdr:from>
    <xdr:to>
      <xdr:col>14</xdr:col>
      <xdr:colOff>280780</xdr:colOff>
      <xdr:row>24</xdr:row>
      <xdr:rowOff>231610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">
          <xdr14:nvContentPartPr>
            <xdr14:cNvPr id="9" name="Рукописный ввод 8">
              <a:extLst>
                <a:ext uri="{FF2B5EF4-FFF2-40B4-BE49-F238E27FC236}">
                  <a16:creationId xmlns:a16="http://schemas.microsoft.com/office/drawing/2014/main" id="{842E6DC8-EF52-49B3-8294-580589430982}"/>
                </a:ext>
              </a:extLst>
            </xdr14:cNvPr>
            <xdr14:cNvContentPartPr/>
          </xdr14:nvContentPartPr>
          <xdr14:nvPr macro=""/>
          <xdr14:xfrm>
            <a:off x="4730620" y="8572090"/>
            <a:ext cx="884160" cy="803520"/>
          </xdr14:xfrm>
        </xdr:contentPart>
      </mc:Choice>
      <mc:Fallback>
        <xdr:pic>
          <xdr:nvPicPr>
            <xdr:cNvPr id="9" name="Рукописный ввод 8">
              <a:extLst>
                <a:ext uri="{FF2B5EF4-FFF2-40B4-BE49-F238E27FC236}">
                  <a16:creationId xmlns:a16="http://schemas.microsoft.com/office/drawing/2014/main" id="{842E6DC8-EF52-49B3-8294-58058943098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4721620" y="8518450"/>
              <a:ext cx="901800" cy="91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94660</xdr:colOff>
      <xdr:row>20</xdr:row>
      <xdr:rowOff>150730</xdr:rowOff>
    </xdr:from>
    <xdr:to>
      <xdr:col>14</xdr:col>
      <xdr:colOff>228940</xdr:colOff>
      <xdr:row>24</xdr:row>
      <xdr:rowOff>234850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7">
          <xdr14:nvContentPartPr>
            <xdr14:cNvPr id="10" name="Рукописный ввод 9">
              <a:extLst>
                <a:ext uri="{FF2B5EF4-FFF2-40B4-BE49-F238E27FC236}">
                  <a16:creationId xmlns:a16="http://schemas.microsoft.com/office/drawing/2014/main" id="{134724E3-5767-4AED-9621-02B0649D9BF9}"/>
                </a:ext>
              </a:extLst>
            </xdr14:cNvPr>
            <xdr14:cNvContentPartPr/>
          </xdr14:nvContentPartPr>
          <xdr14:nvPr macro=""/>
          <xdr14:xfrm>
            <a:off x="4285660" y="7770730"/>
            <a:ext cx="1277280" cy="1608120"/>
          </xdr14:xfrm>
        </xdr:contentPart>
      </mc:Choice>
      <mc:Fallback>
        <xdr:pic>
          <xdr:nvPicPr>
            <xdr:cNvPr id="10" name="Рукописный ввод 9">
              <a:extLst>
                <a:ext uri="{FF2B5EF4-FFF2-40B4-BE49-F238E27FC236}">
                  <a16:creationId xmlns:a16="http://schemas.microsoft.com/office/drawing/2014/main" id="{134724E3-5767-4AED-9621-02B0649D9BF9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4276660" y="7717090"/>
              <a:ext cx="1294920" cy="171576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</xdr:col>
      <xdr:colOff>171450</xdr:colOff>
      <xdr:row>31</xdr:row>
      <xdr:rowOff>196850</xdr:rowOff>
    </xdr:from>
    <xdr:to>
      <xdr:col>5</xdr:col>
      <xdr:colOff>184150</xdr:colOff>
      <xdr:row>33</xdr:row>
      <xdr:rowOff>209550</xdr:rowOff>
    </xdr:to>
    <xdr:sp macro="" textlink="">
      <xdr:nvSpPr>
        <xdr:cNvPr id="15" name="Прямоугольник 14">
          <a:extLst>
            <a:ext uri="{FF2B5EF4-FFF2-40B4-BE49-F238E27FC236}">
              <a16:creationId xmlns:a16="http://schemas.microsoft.com/office/drawing/2014/main" id="{16538A8F-4AF2-411C-BEBA-2CF99ABA0910}"/>
            </a:ext>
          </a:extLst>
        </xdr:cNvPr>
        <xdr:cNvSpPr/>
      </xdr:nvSpPr>
      <xdr:spPr>
        <a:xfrm>
          <a:off x="552450" y="12007850"/>
          <a:ext cx="1536700" cy="774700"/>
        </a:xfrm>
        <a:prstGeom prst="rect">
          <a:avLst/>
        </a:prstGeom>
        <a:noFill/>
        <a:ln>
          <a:prstDash val="dash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196850</xdr:colOff>
      <xdr:row>31</xdr:row>
      <xdr:rowOff>177800</xdr:rowOff>
    </xdr:from>
    <xdr:to>
      <xdr:col>14</xdr:col>
      <xdr:colOff>209550</xdr:colOff>
      <xdr:row>33</xdr:row>
      <xdr:rowOff>190500</xdr:rowOff>
    </xdr:to>
    <xdr:sp macro="" textlink="">
      <xdr:nvSpPr>
        <xdr:cNvPr id="16" name="Прямоугольник 15">
          <a:extLst>
            <a:ext uri="{FF2B5EF4-FFF2-40B4-BE49-F238E27FC236}">
              <a16:creationId xmlns:a16="http://schemas.microsoft.com/office/drawing/2014/main" id="{2095C1A3-13E9-43E3-B7E1-624A3FFF7662}"/>
            </a:ext>
          </a:extLst>
        </xdr:cNvPr>
        <xdr:cNvSpPr/>
      </xdr:nvSpPr>
      <xdr:spPr>
        <a:xfrm>
          <a:off x="4006850" y="11988800"/>
          <a:ext cx="1536700" cy="774700"/>
        </a:xfrm>
        <a:prstGeom prst="rect">
          <a:avLst/>
        </a:prstGeom>
        <a:noFill/>
        <a:ln>
          <a:prstDash val="dash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 editAs="oneCell">
    <xdr:from>
      <xdr:col>1</xdr:col>
      <xdr:colOff>106440</xdr:colOff>
      <xdr:row>38</xdr:row>
      <xdr:rowOff>234480</xdr:rowOff>
    </xdr:from>
    <xdr:to>
      <xdr:col>2</xdr:col>
      <xdr:colOff>298920</xdr:colOff>
      <xdr:row>42</xdr:row>
      <xdr:rowOff>223920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9">
          <xdr14:nvContentPartPr>
            <xdr14:cNvPr id="23" name="Рукописный ввод 22">
              <a:extLst>
                <a:ext uri="{FF2B5EF4-FFF2-40B4-BE49-F238E27FC236}">
                  <a16:creationId xmlns:a16="http://schemas.microsoft.com/office/drawing/2014/main" id="{EF2C0D92-254D-408A-D1E6-BFD7A78983B3}"/>
                </a:ext>
              </a:extLst>
            </xdr14:cNvPr>
            <xdr14:cNvContentPartPr/>
          </xdr14:nvContentPartPr>
          <xdr14:nvPr macro=""/>
          <xdr14:xfrm>
            <a:off x="487440" y="14712480"/>
            <a:ext cx="573480" cy="1513440"/>
          </xdr14:xfrm>
        </xdr:contentPart>
      </mc:Choice>
      <mc:Fallback>
        <xdr:pic>
          <xdr:nvPicPr>
            <xdr:cNvPr id="23" name="Рукописный ввод 22">
              <a:extLst>
                <a:ext uri="{FF2B5EF4-FFF2-40B4-BE49-F238E27FC236}">
                  <a16:creationId xmlns:a16="http://schemas.microsoft.com/office/drawing/2014/main" id="{EF2C0D92-254D-408A-D1E6-BFD7A78983B3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478440" y="14658840"/>
              <a:ext cx="591120" cy="1621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145680</xdr:colOff>
      <xdr:row>39</xdr:row>
      <xdr:rowOff>177120</xdr:rowOff>
    </xdr:from>
    <xdr:to>
      <xdr:col>2</xdr:col>
      <xdr:colOff>176880</xdr:colOff>
      <xdr:row>39</xdr:row>
      <xdr:rowOff>209520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1">
          <xdr14:nvContentPartPr>
            <xdr14:cNvPr id="24" name="Рукописный ввод 23">
              <a:extLst>
                <a:ext uri="{FF2B5EF4-FFF2-40B4-BE49-F238E27FC236}">
                  <a16:creationId xmlns:a16="http://schemas.microsoft.com/office/drawing/2014/main" id="{A1C67910-9E31-CC64-D8B0-9BA4CEF603A5}"/>
                </a:ext>
              </a:extLst>
            </xdr14:cNvPr>
            <xdr14:cNvContentPartPr/>
          </xdr14:nvContentPartPr>
          <xdr14:nvPr macro=""/>
          <xdr14:xfrm>
            <a:off x="526680" y="15036120"/>
            <a:ext cx="412200" cy="32400"/>
          </xdr14:xfrm>
        </xdr:contentPart>
      </mc:Choice>
      <mc:Fallback>
        <xdr:pic>
          <xdr:nvPicPr>
            <xdr:cNvPr id="24" name="Рукописный ввод 23">
              <a:extLst>
                <a:ext uri="{FF2B5EF4-FFF2-40B4-BE49-F238E27FC236}">
                  <a16:creationId xmlns:a16="http://schemas.microsoft.com/office/drawing/2014/main" id="{A1C67910-9E31-CC64-D8B0-9BA4CEF603A5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518040" y="14982480"/>
              <a:ext cx="429840" cy="140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183720</xdr:colOff>
      <xdr:row>38</xdr:row>
      <xdr:rowOff>171120</xdr:rowOff>
    </xdr:from>
    <xdr:to>
      <xdr:col>4</xdr:col>
      <xdr:colOff>184200</xdr:colOff>
      <xdr:row>41</xdr:row>
      <xdr:rowOff>222240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3">
          <xdr14:nvContentPartPr>
            <xdr14:cNvPr id="31" name="Рукописный ввод 30">
              <a:extLst>
                <a:ext uri="{FF2B5EF4-FFF2-40B4-BE49-F238E27FC236}">
                  <a16:creationId xmlns:a16="http://schemas.microsoft.com/office/drawing/2014/main" id="{D72817E0-A219-AAF5-7DC0-50B032AB1261}"/>
                </a:ext>
              </a:extLst>
            </xdr14:cNvPr>
            <xdr14:cNvContentPartPr/>
          </xdr14:nvContentPartPr>
          <xdr14:nvPr macro=""/>
          <xdr14:xfrm>
            <a:off x="945720" y="14649120"/>
            <a:ext cx="762480" cy="1194120"/>
          </xdr14:xfrm>
        </xdr:contentPart>
      </mc:Choice>
      <mc:Fallback>
        <xdr:pic>
          <xdr:nvPicPr>
            <xdr:cNvPr id="31" name="Рукописный ввод 30">
              <a:extLst>
                <a:ext uri="{FF2B5EF4-FFF2-40B4-BE49-F238E27FC236}">
                  <a16:creationId xmlns:a16="http://schemas.microsoft.com/office/drawing/2014/main" id="{D72817E0-A219-AAF5-7DC0-50B032AB1261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937080" y="14595136"/>
              <a:ext cx="780120" cy="1301728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</xdr:col>
      <xdr:colOff>171450</xdr:colOff>
      <xdr:row>50</xdr:row>
      <xdr:rowOff>196850</xdr:rowOff>
    </xdr:from>
    <xdr:to>
      <xdr:col>4</xdr:col>
      <xdr:colOff>184150</xdr:colOff>
      <xdr:row>51</xdr:row>
      <xdr:rowOff>203200</xdr:rowOff>
    </xdr:to>
    <xdr:sp macro="" textlink="">
      <xdr:nvSpPr>
        <xdr:cNvPr id="35" name="Прямоугольник 34">
          <a:extLst>
            <a:ext uri="{FF2B5EF4-FFF2-40B4-BE49-F238E27FC236}">
              <a16:creationId xmlns:a16="http://schemas.microsoft.com/office/drawing/2014/main" id="{6104C508-200A-4FDF-A92D-852680213C98}"/>
            </a:ext>
          </a:extLst>
        </xdr:cNvPr>
        <xdr:cNvSpPr/>
      </xdr:nvSpPr>
      <xdr:spPr>
        <a:xfrm>
          <a:off x="933450" y="19246850"/>
          <a:ext cx="774700" cy="387350"/>
        </a:xfrm>
        <a:prstGeom prst="rect">
          <a:avLst/>
        </a:prstGeom>
        <a:noFill/>
        <a:ln>
          <a:prstDash val="dash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11</xdr:col>
      <xdr:colOff>177800</xdr:colOff>
      <xdr:row>50</xdr:row>
      <xdr:rowOff>196850</xdr:rowOff>
    </xdr:from>
    <xdr:to>
      <xdr:col>13</xdr:col>
      <xdr:colOff>190500</xdr:colOff>
      <xdr:row>51</xdr:row>
      <xdr:rowOff>203200</xdr:rowOff>
    </xdr:to>
    <xdr:sp macro="" textlink="">
      <xdr:nvSpPr>
        <xdr:cNvPr id="36" name="Прямоугольник 35">
          <a:extLst>
            <a:ext uri="{FF2B5EF4-FFF2-40B4-BE49-F238E27FC236}">
              <a16:creationId xmlns:a16="http://schemas.microsoft.com/office/drawing/2014/main" id="{16E18697-64DC-4428-B142-EF77F70017F8}"/>
            </a:ext>
          </a:extLst>
        </xdr:cNvPr>
        <xdr:cNvSpPr/>
      </xdr:nvSpPr>
      <xdr:spPr>
        <a:xfrm>
          <a:off x="4368800" y="19246850"/>
          <a:ext cx="774700" cy="387350"/>
        </a:xfrm>
        <a:prstGeom prst="rect">
          <a:avLst/>
        </a:prstGeom>
        <a:noFill/>
        <a:ln>
          <a:prstDash val="dash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158160</xdr:colOff>
      <xdr:row>11</xdr:row>
      <xdr:rowOff>189960</xdr:rowOff>
    </xdr:from>
    <xdr:to>
      <xdr:col>4</xdr:col>
      <xdr:colOff>198240</xdr:colOff>
      <xdr:row>14</xdr:row>
      <xdr:rowOff>223800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">
          <xdr14:nvContentPartPr>
            <xdr14:cNvPr id="15" name="Рукописный ввод 14">
              <a:extLst>
                <a:ext uri="{FF2B5EF4-FFF2-40B4-BE49-F238E27FC236}">
                  <a16:creationId xmlns:a16="http://schemas.microsoft.com/office/drawing/2014/main" id="{FB30C180-CA88-815A-36D0-8A2B992AEDC3}"/>
                </a:ext>
              </a:extLst>
            </xdr14:cNvPr>
            <xdr14:cNvContentPartPr/>
          </xdr14:nvContentPartPr>
          <xdr14:nvPr macro=""/>
          <xdr14:xfrm>
            <a:off x="920160" y="4380960"/>
            <a:ext cx="802080" cy="1176840"/>
          </xdr14:xfrm>
        </xdr:contentPart>
      </mc:Choice>
      <mc:Fallback>
        <xdr:pic>
          <xdr:nvPicPr>
            <xdr:cNvPr id="15" name="Рукописный ввод 14">
              <a:extLst>
                <a:ext uri="{FF2B5EF4-FFF2-40B4-BE49-F238E27FC236}">
                  <a16:creationId xmlns:a16="http://schemas.microsoft.com/office/drawing/2014/main" id="{FB30C180-CA88-815A-36D0-8A2B992AEDC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11160" y="4326960"/>
              <a:ext cx="819720" cy="128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151810</xdr:colOff>
      <xdr:row>11</xdr:row>
      <xdr:rowOff>120110</xdr:rowOff>
    </xdr:from>
    <xdr:to>
      <xdr:col>13</xdr:col>
      <xdr:colOff>191890</xdr:colOff>
      <xdr:row>14</xdr:row>
      <xdr:rowOff>153950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">
          <xdr14:nvContentPartPr>
            <xdr14:cNvPr id="16" name="Рукописный ввод 15">
              <a:extLst>
                <a:ext uri="{FF2B5EF4-FFF2-40B4-BE49-F238E27FC236}">
                  <a16:creationId xmlns:a16="http://schemas.microsoft.com/office/drawing/2014/main" id="{E348AF55-05C1-46B4-8351-45760D673F9E}"/>
                </a:ext>
              </a:extLst>
            </xdr14:cNvPr>
            <xdr14:cNvContentPartPr/>
          </xdr14:nvContentPartPr>
          <xdr14:nvPr macro=""/>
          <xdr14:xfrm>
            <a:off x="4342810" y="4311110"/>
            <a:ext cx="802080" cy="1176840"/>
          </xdr14:xfrm>
        </xdr:contentPart>
      </mc:Choice>
      <mc:Fallback>
        <xdr:pic>
          <xdr:nvPicPr>
            <xdr:cNvPr id="16" name="Рукописный ввод 15">
              <a:extLst>
                <a:ext uri="{FF2B5EF4-FFF2-40B4-BE49-F238E27FC236}">
                  <a16:creationId xmlns:a16="http://schemas.microsoft.com/office/drawing/2014/main" id="{E348AF55-05C1-46B4-8351-45760D673F9E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4333810" y="4257110"/>
              <a:ext cx="819720" cy="128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131880</xdr:colOff>
      <xdr:row>21</xdr:row>
      <xdr:rowOff>94800</xdr:rowOff>
    </xdr:from>
    <xdr:to>
      <xdr:col>4</xdr:col>
      <xdr:colOff>236400</xdr:colOff>
      <xdr:row>24</xdr:row>
      <xdr:rowOff>241320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">
          <xdr14:nvContentPartPr>
            <xdr14:cNvPr id="19" name="Рукописный ввод 18">
              <a:extLst>
                <a:ext uri="{FF2B5EF4-FFF2-40B4-BE49-F238E27FC236}">
                  <a16:creationId xmlns:a16="http://schemas.microsoft.com/office/drawing/2014/main" id="{564B4B87-6BC3-6A66-8AF3-54BCE31C6A5B}"/>
                </a:ext>
              </a:extLst>
            </xdr14:cNvPr>
            <xdr14:cNvContentPartPr/>
          </xdr14:nvContentPartPr>
          <xdr14:nvPr macro=""/>
          <xdr14:xfrm>
            <a:off x="893880" y="8095800"/>
            <a:ext cx="866520" cy="1289520"/>
          </xdr14:xfrm>
        </xdr:contentPart>
      </mc:Choice>
      <mc:Fallback>
        <xdr:pic>
          <xdr:nvPicPr>
            <xdr:cNvPr id="19" name="Рукописный ввод 18">
              <a:extLst>
                <a:ext uri="{FF2B5EF4-FFF2-40B4-BE49-F238E27FC236}">
                  <a16:creationId xmlns:a16="http://schemas.microsoft.com/office/drawing/2014/main" id="{564B4B87-6BC3-6A66-8AF3-54BCE31C6A5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884880" y="8042160"/>
              <a:ext cx="884160" cy="1397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81080</xdr:colOff>
      <xdr:row>21</xdr:row>
      <xdr:rowOff>113850</xdr:rowOff>
    </xdr:from>
    <xdr:to>
      <xdr:col>13</xdr:col>
      <xdr:colOff>185600</xdr:colOff>
      <xdr:row>24</xdr:row>
      <xdr:rowOff>260370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7">
          <xdr14:nvContentPartPr>
            <xdr14:cNvPr id="20" name="Рукописный ввод 19">
              <a:extLst>
                <a:ext uri="{FF2B5EF4-FFF2-40B4-BE49-F238E27FC236}">
                  <a16:creationId xmlns:a16="http://schemas.microsoft.com/office/drawing/2014/main" id="{7008836B-0343-40A9-BD14-3860B3256540}"/>
                </a:ext>
              </a:extLst>
            </xdr14:cNvPr>
            <xdr14:cNvContentPartPr/>
          </xdr14:nvContentPartPr>
          <xdr14:nvPr macro=""/>
          <xdr14:xfrm>
            <a:off x="4272080" y="8114850"/>
            <a:ext cx="866520" cy="1289520"/>
          </xdr14:xfrm>
        </xdr:contentPart>
      </mc:Choice>
      <mc:Fallback>
        <xdr:pic>
          <xdr:nvPicPr>
            <xdr:cNvPr id="20" name="Рукописный ввод 19">
              <a:extLst>
                <a:ext uri="{FF2B5EF4-FFF2-40B4-BE49-F238E27FC236}">
                  <a16:creationId xmlns:a16="http://schemas.microsoft.com/office/drawing/2014/main" id="{7008836B-0343-40A9-BD14-3860B3256540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4263080" y="8061210"/>
              <a:ext cx="884160" cy="139716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1</xdr:col>
      <xdr:colOff>144390</xdr:colOff>
      <xdr:row>29</xdr:row>
      <xdr:rowOff>150450</xdr:rowOff>
    </xdr:from>
    <xdr:ext cx="1470600" cy="163512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24" name="Рукописный ввод 23">
              <a:extLst>
                <a:ext uri="{FF2B5EF4-FFF2-40B4-BE49-F238E27FC236}">
                  <a16:creationId xmlns:a16="http://schemas.microsoft.com/office/drawing/2014/main" id="{D822EE6F-9017-444C-8678-08A910D15EB1}"/>
                </a:ext>
              </a:extLst>
            </xdr14:cNvPr>
            <xdr14:cNvContentPartPr/>
          </xdr14:nvContentPartPr>
          <xdr14:nvPr macro=""/>
          <xdr14:xfrm>
            <a:off x="525390" y="11199450"/>
            <a:ext cx="1470600" cy="1635120"/>
          </xdr14:xfrm>
        </xdr:contentPart>
      </mc:Choice>
      <mc:Fallback>
        <xdr:pic>
          <xdr:nvPicPr>
            <xdr:cNvPr id="24" name="Рукописный ввод 23">
              <a:extLst>
                <a:ext uri="{FF2B5EF4-FFF2-40B4-BE49-F238E27FC236}">
                  <a16:creationId xmlns:a16="http://schemas.microsoft.com/office/drawing/2014/main" id="{D822EE6F-9017-444C-8678-08A910D15EB1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523950" y="11198370"/>
              <a:ext cx="1473480" cy="163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10</xdr:col>
      <xdr:colOff>182490</xdr:colOff>
      <xdr:row>29</xdr:row>
      <xdr:rowOff>169500</xdr:rowOff>
    </xdr:from>
    <xdr:ext cx="1470600" cy="163512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25" name="Рукописный ввод 24">
              <a:extLst>
                <a:ext uri="{FF2B5EF4-FFF2-40B4-BE49-F238E27FC236}">
                  <a16:creationId xmlns:a16="http://schemas.microsoft.com/office/drawing/2014/main" id="{C56F1159-5802-49F6-8BF2-793574677EF1}"/>
                </a:ext>
              </a:extLst>
            </xdr14:cNvPr>
            <xdr14:cNvContentPartPr/>
          </xdr14:nvContentPartPr>
          <xdr14:nvPr macro=""/>
          <xdr14:xfrm>
            <a:off x="3992490" y="11218500"/>
            <a:ext cx="1470600" cy="1635120"/>
          </xdr14:xfrm>
        </xdr:contentPart>
      </mc:Choice>
      <mc:Fallback>
        <xdr:pic>
          <xdr:nvPicPr>
            <xdr:cNvPr id="25" name="Рукописный ввод 24">
              <a:extLst>
                <a:ext uri="{FF2B5EF4-FFF2-40B4-BE49-F238E27FC236}">
                  <a16:creationId xmlns:a16="http://schemas.microsoft.com/office/drawing/2014/main" id="{C56F1159-5802-49F6-8BF2-793574677EF1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3991050" y="11217420"/>
              <a:ext cx="1473480" cy="1638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1</xdr:col>
      <xdr:colOff>75840</xdr:colOff>
      <xdr:row>38</xdr:row>
      <xdr:rowOff>80640</xdr:rowOff>
    </xdr:from>
    <xdr:to>
      <xdr:col>5</xdr:col>
      <xdr:colOff>317640</xdr:colOff>
      <xdr:row>40</xdr:row>
      <xdr:rowOff>343200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">
          <xdr14:nvContentPartPr>
            <xdr14:cNvPr id="30" name="Рукописный ввод 29">
              <a:extLst>
                <a:ext uri="{FF2B5EF4-FFF2-40B4-BE49-F238E27FC236}">
                  <a16:creationId xmlns:a16="http://schemas.microsoft.com/office/drawing/2014/main" id="{3AF298B2-C60A-60CB-4F93-7BEE0A0342DB}"/>
                </a:ext>
              </a:extLst>
            </xdr14:cNvPr>
            <xdr14:cNvContentPartPr/>
          </xdr14:nvContentPartPr>
          <xdr14:nvPr macro=""/>
          <xdr14:xfrm>
            <a:off x="456840" y="14558640"/>
            <a:ext cx="1765800" cy="1024560"/>
          </xdr14:xfrm>
        </xdr:contentPart>
      </mc:Choice>
      <mc:Fallback>
        <xdr:pic>
          <xdr:nvPicPr>
            <xdr:cNvPr id="30" name="Рукописный ввод 29">
              <a:extLst>
                <a:ext uri="{FF2B5EF4-FFF2-40B4-BE49-F238E27FC236}">
                  <a16:creationId xmlns:a16="http://schemas.microsoft.com/office/drawing/2014/main" id="{3AF298B2-C60A-60CB-4F93-7BEE0A0342DB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455400" y="14557560"/>
              <a:ext cx="1768680" cy="1027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182040</xdr:colOff>
      <xdr:row>38</xdr:row>
      <xdr:rowOff>202320</xdr:rowOff>
    </xdr:from>
    <xdr:to>
      <xdr:col>2</xdr:col>
      <xdr:colOff>249600</xdr:colOff>
      <xdr:row>39</xdr:row>
      <xdr:rowOff>207960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">
          <xdr14:nvContentPartPr>
            <xdr14:cNvPr id="31" name="Рукописный ввод 30">
              <a:extLst>
                <a:ext uri="{FF2B5EF4-FFF2-40B4-BE49-F238E27FC236}">
                  <a16:creationId xmlns:a16="http://schemas.microsoft.com/office/drawing/2014/main" id="{73BB7086-6700-2E0B-1072-E1AC7D7D69E7}"/>
                </a:ext>
              </a:extLst>
            </xdr14:cNvPr>
            <xdr14:cNvContentPartPr/>
          </xdr14:nvContentPartPr>
          <xdr14:nvPr macro=""/>
          <xdr14:xfrm>
            <a:off x="563040" y="14680320"/>
            <a:ext cx="448560" cy="386640"/>
          </xdr14:xfrm>
        </xdr:contentPart>
      </mc:Choice>
      <mc:Fallback>
        <xdr:pic>
          <xdr:nvPicPr>
            <xdr:cNvPr id="31" name="Рукописный ввод 30">
              <a:extLst>
                <a:ext uri="{FF2B5EF4-FFF2-40B4-BE49-F238E27FC236}">
                  <a16:creationId xmlns:a16="http://schemas.microsoft.com/office/drawing/2014/main" id="{73BB7086-6700-2E0B-1072-E1AC7D7D69E7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558720" y="14676000"/>
              <a:ext cx="457200" cy="395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138120</xdr:colOff>
      <xdr:row>40</xdr:row>
      <xdr:rowOff>119280</xdr:rowOff>
    </xdr:from>
    <xdr:to>
      <xdr:col>1</xdr:col>
      <xdr:colOff>317760</xdr:colOff>
      <xdr:row>40</xdr:row>
      <xdr:rowOff>286680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">
          <xdr14:nvContentPartPr>
            <xdr14:cNvPr id="32" name="Рукописный ввод 31">
              <a:extLst>
                <a:ext uri="{FF2B5EF4-FFF2-40B4-BE49-F238E27FC236}">
                  <a16:creationId xmlns:a16="http://schemas.microsoft.com/office/drawing/2014/main" id="{07F81668-4233-E90E-9CA1-A2CD60C3AB10}"/>
                </a:ext>
              </a:extLst>
            </xdr14:cNvPr>
            <xdr14:cNvContentPartPr/>
          </xdr14:nvContentPartPr>
          <xdr14:nvPr macro=""/>
          <xdr14:xfrm>
            <a:off x="519120" y="15359280"/>
            <a:ext cx="179640" cy="167400"/>
          </xdr14:xfrm>
        </xdr:contentPart>
      </mc:Choice>
      <mc:Fallback>
        <xdr:pic>
          <xdr:nvPicPr>
            <xdr:cNvPr id="32" name="Рукописный ввод 31">
              <a:extLst>
                <a:ext uri="{FF2B5EF4-FFF2-40B4-BE49-F238E27FC236}">
                  <a16:creationId xmlns:a16="http://schemas.microsoft.com/office/drawing/2014/main" id="{07F81668-4233-E90E-9CA1-A2CD60C3AB10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517680" y="15357840"/>
              <a:ext cx="182160" cy="169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125040</xdr:colOff>
      <xdr:row>38</xdr:row>
      <xdr:rowOff>114480</xdr:rowOff>
    </xdr:from>
    <xdr:to>
      <xdr:col>2</xdr:col>
      <xdr:colOff>300360</xdr:colOff>
      <xdr:row>38</xdr:row>
      <xdr:rowOff>249840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">
          <xdr14:nvContentPartPr>
            <xdr14:cNvPr id="33" name="Рукописный ввод 32">
              <a:extLst>
                <a:ext uri="{FF2B5EF4-FFF2-40B4-BE49-F238E27FC236}">
                  <a16:creationId xmlns:a16="http://schemas.microsoft.com/office/drawing/2014/main" id="{5BF0B772-7510-0DEC-70E9-F62B53772061}"/>
                </a:ext>
              </a:extLst>
            </xdr14:cNvPr>
            <xdr14:cNvContentPartPr/>
          </xdr14:nvContentPartPr>
          <xdr14:nvPr macro=""/>
          <xdr14:xfrm>
            <a:off x="887040" y="14592480"/>
            <a:ext cx="175320" cy="135360"/>
          </xdr14:xfrm>
        </xdr:contentPart>
      </mc:Choice>
      <mc:Fallback>
        <xdr:pic>
          <xdr:nvPicPr>
            <xdr:cNvPr id="33" name="Рукописный ввод 32">
              <a:extLst>
                <a:ext uri="{FF2B5EF4-FFF2-40B4-BE49-F238E27FC236}">
                  <a16:creationId xmlns:a16="http://schemas.microsoft.com/office/drawing/2014/main" id="{5BF0B772-7510-0DEC-70E9-F62B53772061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885600" y="14591040"/>
              <a:ext cx="177840" cy="1382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1-01T16:10:34.896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gnorePressure" value="1"/>
      <inkml:brushProperty name="inkEffects" value="pencil"/>
    </inkml:brush>
  </inkml:definitions>
  <inkml:trace contextRef="#ctx0" brushRef="#br0">0 1,'3'0,"4"0,7 0,7 0,5 0,6 0,2 0,8 0,5 0,11 0,9 0,6 0,5 6,2 2,-4 0,3-2,-3 1,-5 0,-3-2,-4 2,-7-1,-4-1,-2 1,-6 3,-3 0,1-2,2 1,-3 0,0-3,-1-1,1-2,-1-1,-3 0,0 2,0 0,-4 1,-1-1,-4-1,-1-1,2 0,-2-1,0 0,-1 0,0 0,2 0,-1-1,1 1,-2 0,1 0,4 0,6 0,0 0,-5 0,0 0,-1 0,-3 0,-3 0,-3 0,-2 0,-2 0,-1 0,-4 0,-4 3,-4 7,-3 8,-2 6,-1 9,-3 2,-2 0,-3 4,1-3,-3 0,-1 2,0-2,2-2,0 0,1 0,3-2,1-2,-1-2,0-3,-2-3,0 1,2 0,1 1,-2 0,1 3,0 1,2 0,1 1,1-2,1-2,0 1,0-2,0-1,0-2,1 2,-1-1,0 0,0 2,0-1,0 0,0-2,0-2,0 3,0 1,0-2,0 0,0-2,0 3,0 3,0 3,0 1,0 1,0 1,0-2,0-2,0-3,0 0,0 2,0 3,0 0,0-3,0-3,0-1,0-3,0 0,0-2,0 1,0-1,0 0,0 0,0 1,0-1,0 1,0-1,0 1,0 0,0 2,0 2,0-1,0 0,0-1,0-1,0-1,0 0,0 0,0-1,0-2,0-5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1-01T16:10:46.791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gnorePressure" value="1"/>
      <inkml:brushProperty name="inkEffects" value="pencil"/>
    </inkml:brush>
  </inkml:definitions>
  <inkml:trace contextRef="#ctx0" brushRef="#br0">3547 4467,'-3'0,"-4"0,-4 0,-3 0,-2 0,-1 0,-1 0,-1 0,1 0,-1 0,1 0,-3 0,0 0,-4 0,-3 0,1 0,-2 0,-2 0,-1 0,-1 0,-2 0,-3 0,-2 0,1 0,-3 0,1 0,0 0,2 0,1 0,-2 0,0 0,-2 0,0 0,-2 0,-5 0,-1 0,0 0,-2 0,3 0,-2 0,1 0,3 0,1 0,-4 0,1 0,-1 0,0 0,-7 0,0 0,1 0,-2 0,2 0,6 0,5 0,3 0,4 0,2 0,4 0,5 0,3 0,1 0,0-3,2-1,-2 0,0 1,-2 1,-3-3,-2 1,-3-3,2 0,0 1,2 2,-2-2,-3 0,2 2,0 1,0 1,2 1,0 1,2-1,0-1,-1-2,1 0,3 2,-1 0,1 0,2 2,2-1,1 1,2 0,0 1,0-1,1 0,0 0,-1 0,1 0,-1 0,1 0,-1-3,1-1,-1 0,0 1,1 0,-1 2,1 0,-1 1,0 0,1 0,-1 0,0 0,1 1,-1-1,0 0,1 0,-1 0,3-3,5-4,3-4,3-3,3-2,0-4,2-2,0-3,-1-1,1 2,0 1,-1 0,0-4,0 1,0-2,0 2,-3 1,-1-1,0 2,1-2,1 1,1 1,0 0,1 0,0-2,0 1,0-2,0-1,0 0,0-1,0 1,0-3,0-2,0 1,0-3,0 2,0 0,0 0,0 2,0 4,0 0,0 2,0-1,0 1,0-4,0-3,0-3,0-4,0-1,0 0,0-2,0-3,0 0,0 2,0 2,0-1,0 1,0 1,0-1,0-1,0 2,0 2,0-3,0 4,0 2,0 3,0 5,0 3,0 4,0 1,-3 2,-1 0,1 0,0 0,1-3,0-4,1-1,1-3,0 1,-3-1,-1-4,0-1,1 0,1-1,1 3,0 1,1 2,-3 2,-1 1,0 1,2 2,0-2,0-3,2 1,-1 2,1 1,0 2,1 1,-1 2,0-3,0 0,0 0,0-2,0-1,0-2,0-2,0-3,0-1,0 0,0 4,0 3,0 0,0-1,0 0,0 1,0 3,0 2,0 0,0 2,0 0,0 1,0 0,0-3,0-2,0 1,0 0,0-1,0-1,0 1,0 1,0 1,0 1,0-2,0-1,0-2,0-1,0-1,0 0,0 2,0 1,0 3,0 1,0 1,0 0,0 1,0-1,0 1,0 0,0-1,0 1,0-1,0 1,0-1,0 0,0 1,0-1,0 0,0 1,0-1,0 1,0-1,0 0,0 1,0-1,0-3,0 0,0-1,0 1,0 2,0 0,0 0,0 1,0 1,3 2,4 5,4 3,3 3,2 3,1 1,5 0,0 1,3 0,0-1,-1 1,-1-1,-2 0,-2 0,2 0,1 0,-4 3,2 1,-1 0,1-1,-1-1,-1-1,1 0,-1-1,2 0,5 0,0 0,3 0,-1 0,0 3,0 1,-2 0,-3-1,-1-1,-2 0,-2-2,-2 4,-2 0,1-1,0 0,1-1,1-1,-2 3,-1 0,1 0,1-1,0-1,2-1,0 0,0-1,1 0,0 0,0-1,3 1,0 0,1 0,-1 0,-2 0,0 0,0 3,-1 1,-1 0,1-1,-1-1,1-1,-1 0,1-1,-1 0,1 0,0 0,-1 0,1 0,-4 2,-3 5,-4 4,-3 3,-3 2,-1 2,0 0,-1 0,0 0,1 1,-4-1,0 0,0 0,1-1,-2 1,0 0,0-1,2 1,1-1,1 1,0 0,-2-1,-1 1,1 0,0-1,1 1,1-1,0 1,-2 3,-1 3,0 2,1-2,1 2,1-1,0 2,1-1,0 1,-3 1,-1 1,0-4,1-1,1 0,1-1,0-1,1 2,0-1,0 2,0 3,0 3,0 2,1-2,-1 0,0-2,0-1,0-1,0 0,0-1,0-2,0 1,0 2,0-1,0-1,0-2,0-3,0 0,0 1,0 1,0-1,0-1,-3-3,-1-3,0 1,1 2,1 3,0 0,2-1,-1 1,1-1,0-1,1 0,-1 0,0 0,0-1,0 1,0-1,0 4,0 0,0 1,0-1,0-2,0 0,0 0,0-1,0-1,0 1,0-1,0 1,0-1,0 1,0-1,0 1,0 0,0-1,0 1,0-1,0-2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1-01T16:10:59.916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gnorePressure" value="1"/>
      <inkml:brushProperty name="inkEffects" value="pencil"/>
    </inkml:brush>
  </inkml:definitions>
  <inkml:trace contextRef="#ctx0" brushRef="#br0">0 1,'3'0,"4"0,7 0,7 0,5 0,6 0,2 0,8 0,5 0,11 0,9 0,6 0,5 6,2 2,-4 0,3-2,-3 1,-5 0,-3-2,-4 2,-7-1,-4-1,-2 1,-6 3,-3 0,1-2,2 1,-3 0,0-3,-1-1,1-2,-1-1,-3 0,0 2,0 0,-4 1,-1-1,-4-1,-1-1,2 0,-2-1,0 0,-1 0,0 0,2 0,-1-1,1 1,-2 0,1 0,4 0,6 0,0 0,-5 0,0 0,-1 0,-3 0,-3 0,-3 0,-2 0,-2 0,-1 0,-4 0,-4 3,-4 7,-3 8,-2 6,-1 9,-3 2,-2 0,-3 4,1-3,-3 0,-1 2,0-2,2-2,0 0,1 0,3-2,1-2,-1-2,0-3,-2-3,0 1,2 0,1 1,-2 0,1 3,0 1,2 0,1 1,1-2,1-2,0 1,0-2,0-1,0-2,1 2,-1-1,0 0,0 2,0-1,0 0,0-2,0-2,0 3,0 1,0-2,0 0,0-2,0 3,0 3,0 3,0 1,0 1,0 1,0-2,0-2,0-3,0 0,0 2,0 3,0 0,0-3,0-3,0-1,0-3,0 0,0-2,0 1,0-1,0 0,0 0,0 1,0-1,0 1,0-1,0 1,0 0,0 2,0 2,0-1,0 0,0-1,0-1,0-1,0 0,0 0,0-1,0-2,0-5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1-01T16:10:59.917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gnorePressure" value="1"/>
      <inkml:brushProperty name="inkEffects" value="pencil"/>
    </inkml:brush>
  </inkml:definitions>
  <inkml:trace contextRef="#ctx0" brushRef="#br0">3547 4467,'-3'0,"-4"0,-4 0,-3 0,-2 0,-1 0,-1 0,-1 0,1 0,-1 0,1 0,-3 0,0 0,-4 0,-3 0,1 0,-2 0,-2 0,-1 0,-1 0,-2 0,-3 0,-2 0,1 0,-3 0,1 0,0 0,2 0,1 0,-2 0,0 0,-2 0,0 0,-2 0,-5 0,-1 0,0 0,-2 0,3 0,-2 0,1 0,3 0,1 0,-4 0,1 0,-1 0,0 0,-7 0,0 0,1 0,-2 0,2 0,6 0,5 0,3 0,4 0,2 0,4 0,5 0,3 0,1 0,0-3,2-1,-2 0,0 1,-2 1,-3-3,-2 1,-3-3,2 0,0 1,2 2,-2-2,-3 0,2 2,0 1,0 1,2 1,0 1,2-1,0-1,-1-2,1 0,3 2,-1 0,1 0,2 2,2-1,1 1,2 0,0 1,0-1,1 0,0 0,-1 0,1 0,-1 0,1 0,-1-3,1-1,-1 0,0 1,1 0,-1 2,1 0,-1 1,0 0,1 0,-1 0,0 0,1 1,-1-1,0 0,1 0,-1 0,3-3,5-4,3-4,3-3,3-2,0-4,2-2,0-3,-1-1,1 2,0 1,-1 0,0-4,0 1,0-2,0 2,-3 1,-1-1,0 2,1-2,1 1,1 1,0 0,1 0,0-2,0 1,0-2,0-1,0 0,0-1,0 1,0-3,0-2,0 1,0-3,0 2,0 0,0 0,0 2,0 4,0 0,0 2,0-1,0 1,0-4,0-3,0-3,0-4,0-1,0 0,0-2,0-3,0 0,0 2,0 2,0-1,0 1,0 1,0-1,0-1,0 2,0 2,0-3,0 4,0 2,0 3,0 5,0 3,0 4,0 1,-3 2,-1 0,1 0,0 0,1-3,0-4,1-1,1-3,0 1,-3-1,-1-4,0-1,1 0,1-1,1 3,0 1,1 2,-3 2,-1 1,0 1,2 2,0-2,0-3,2 1,-1 2,1 1,0 2,1 1,-1 2,0-3,0 0,0 0,0-2,0-1,0-2,0-2,0-3,0-1,0 0,0 4,0 3,0 0,0-1,0 0,0 1,0 3,0 2,0 0,0 2,0 0,0 1,0 0,0-3,0-2,0 1,0 0,0-1,0-1,0 1,0 1,0 1,0 1,0-2,0-1,0-2,0-1,0-1,0 0,0 2,0 1,0 3,0 1,0 1,0 0,0 1,0-1,0 1,0 0,0-1,0 1,0-1,0 1,0-1,0 0,0 1,0-1,0 0,0 1,0-1,0 1,0-1,0 0,0 1,0-1,0-3,0 0,0-1,0 1,0 2,0 0,0 0,0 1,0 1,3 2,4 5,4 3,3 3,2 3,1 1,5 0,0 1,3 0,0-1,-1 1,-1-1,-2 0,-2 0,2 0,1 0,-4 3,2 1,-1 0,1-1,-1-1,-1-1,1 0,-1-1,2 0,5 0,0 0,3 0,-1 0,0 3,0 1,-2 0,-3-1,-1-1,-2 0,-2-2,-2 4,-2 0,1-1,0 0,1-1,1-1,-2 3,-1 0,1 0,1-1,0-1,2-1,0 0,0-1,1 0,0 0,0-1,3 1,0 0,1 0,-1 0,-2 0,0 0,0 3,-1 1,-1 0,1-1,-1-1,1-1,-1 0,1-1,-1 0,1 0,0 0,-1 0,1 0,-4 2,-3 5,-4 4,-3 3,-3 2,-1 2,0 0,-1 0,0 0,1 1,-4-1,0 0,0 0,1-1,-2 1,0 0,0-1,2 1,1-1,1 1,0 0,-2-1,-1 1,1 0,0-1,1 1,1-1,0 1,-2 3,-1 3,0 2,1-2,1 2,1-1,0 2,1-1,0 1,-3 1,-1 1,0-4,1-1,1 0,1-1,0-1,1 2,0-1,0 2,0 3,0 3,0 2,1-2,-1 0,0-2,0-1,0-1,0 0,0-1,0-2,0 1,0 2,0-1,0-1,0-2,0-3,0 0,0 1,0 1,0-1,0-1,-3-3,-1-3,0 1,1 2,1 3,0 0,2-1,-1 1,1-1,0-1,1 0,-1 0,0 0,0-1,0 1,0-1,0 4,0 0,0 1,0-1,0-2,0 0,0 0,0-1,0-1,0 1,0-1,0 1,0-1,0 1,0-1,0 1,0 0,0-1,0 1,0-1,0-2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1-01T16:30:35.609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gnorePressure" value="1"/>
      <inkml:brushProperty name="inkEffects" value="pencil"/>
    </inkml:brush>
  </inkml:definitions>
  <inkml:trace contextRef="#ctx0" brushRef="#br0">1362 1,'0'3,"0"4,0 4,0 6,0 3,0 4,0 7,0 4,3 6,1 1,0-4,-1 2,-1-1,0-4,-2-1,1-4,-1-4,-1-1,1 2,0-1,0-1,0-3,0-2,0 2,0 0,0 0,0 1,3 1,1 1,-1 6,0 1,0 0,-2-1,0 2,-1 2,0-2,0-1,0 1,0-3,-1-1,1-1,0 2,0 1,0-1,0 5,0 2,0 1,0 5,0 6,0-1,0 1,0-2,0-3,0-2,0-7,0-2,0 2,3-2,1-1,0 1,2-3,0 3,-1 1,-1 2,2 3,-1 1,0 0,1-1,0 1,-1 1,-2-1,3-1,-1-2,-1 0,-1-4,2-2,0 0,-1 1,-1 1,-1 1,2 0,1 1,-1 3,-1 5,-1 3,-1 3,-1 6,0-4,0-5,0-7,0-4,0-2,0-1,0 1,0-3,0-3,0-4,0-2,0-2,0-1,0-1,3 0,1 0,2 0,2 0,-2 1,1-1,0 1,-1 2,-3 2,3 3,-1 2,-1 4,-1-1,-1 0,-1-1,-1-1,0-1,0-2,0-3,0-2,0 2,0 0,-1-1,1-1,0-1,0 0,0 2,0 4,0 0,0-1,0 2,0 2,0 2,0 0,0-3,0-3,0-2,-3-6,-3-4,-5-6,-3-2,-2-3,-2-1,0-1,0 0,-1 0,1 0,-3 0,-4 1,-1 0,2 0,-2 0,1 0,-5 0,-2 0,0 0,0 0,3 0,2 0,1 0,2 0,-5 0,-3 0,1 0,-3 0,-3 0,1 0,-2 0,5 0,-3 0,3 0,3 0,2 0,2 0,-1 0,-1 0,-2 0,0 0,4 0,-1 0,1 0,3 0,-1 0,0 0,-1 0,0 0,-1 0,0 0,-1 0,1 0,2 0,-1 0,0 0,3 0,1 0,1 0,1 0,1 0,1 0,2-3,5-7,3-8,4-3,2-5,0-7,2 0,0-5,-1 3,1-3,0-1,-1 1,0-3,0 0,0 1,0 1,0-1,0 2,0-4,0-3,0-1,0 2,0 2,0 2,0 0,0-1,0 5,0-1,0 3,0 1,0 0,0 0,0 0,0-2,0 1,0-4,0 2,0-2,0-1,0-2,0-4,0 0,0-4,0 0,0 0,0-2,0 0,3-1,1 5,0 3,-1-2,-1 2,2 3,1-2,-1-2,-1 4,-1 0,2-3,1 1,2-2,0-1,-1 3,-2 3,2 0,-1 3,0 5,-2 5,-1 2,-1 1,-1 2,0-1,0 0,0 1,0 2,-1-3,1-3,0 1,0 0,0 2,0 2,0 2,0 0,0 2,0-1,0-2,3-1,1 0,0 0,-1 1,-1 2,0-4,-2 0,1 1,-1 0,-1 5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1-01T16:30:43.080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gnorePressure" value="1"/>
      <inkml:brushProperty name="inkEffects" value="pencil"/>
    </inkml:brush>
  </inkml:definitions>
  <inkml:trace contextRef="#ctx0" brushRef="#br0">1 90,'3'0,"4"0,3 0,4 0,2 0,2 0,0 0,0 0,1 0,2 0,1 0,0 0,-1 0,-2 0,1 0,-2 0,0 0,-1 0,1 0,-1 0,1 0,-1 0,1 0,-1 0,1 0,0 0,-1 0,1 0,0 0,-1 0,1 0,-1 0,1 0,0 0,-1 0,1 0,0 0,-1 0,1 0,0 0,-1 0,1 0,-3-3,-2-1,1 0,1 1,0 0,1-1,1-1,1 1,-1 1,1 1,0 1,0 0,-1 1,1 0,-3-2,-2-2,1 0,-2-2,0 0,0 1,2 2,-2-3,0 1,1 0,2 2,0 1,2 1,-3 1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1-01T16:30:48.242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gnorePressure" value="1"/>
      <inkml:brushProperty name="inkEffects" value="pencil"/>
    </inkml:brush>
  </inkml:definitions>
  <inkml:trace contextRef="#ctx0" brushRef="#br0">1 1077,'0'3,"0"4,0 3,3 7,1 3,3 1,0 1,2 1,-1 1,-1-1,-3 1,2 3,0 0,-2 1,0-1,-3-2,1 1,-2 1,0 0,0 1,-1 2,1 4,0 3,0 2,0-4,0-2,0 3,0 2,0-4,0-1,0-3,0-1,0 1,0 2,0-3,0-2,0-1,0 3,0-2,0-2,0 0,0 0,0 1,0-1,0 2,0 4,0 4,0 2,0-3,0-4,0-4,0-4,0 1,0 0,0-2,0-1,0-1,0-1,0 0,0-1,0 1,0 2,0 5,0 0,0 2,0 3,0 2,0 5,0 4,0 2,0 0,0 1,0-4,0-2,0-5,0-6,0 0,0-3,0-1,0-3,0-1,0-4</inkml:trace>
  <inkml:trace contextRef="#ctx0" brushRef="#br0" timeOffset="2625.79">72 3317,'3'0,"7"0,4 0,7 0,5 0,4 0,1 0,0 0,1 0,-2 0,4 0,4 0,-2 0,4 0,-1 0,-3 0,1 0,1 0,-4 0,-1 0,-4 0,0-3,1-1,1 0,-2 1,-3 1,1 0,-2 2,-2-1,-1 1,0 1,4-1,-1 0,2 0,0 0,3 0,4 0,1 0,1 0,4 0,-3 0,2 0,0 0,-3 0,-3 0,-2 0,-2 0,0 0,-1 0,1 0,0 0,3 0,0 0,-1 0,0 0,1 0,-3 0,0 0,-1 0,-3-3,-3-1,-2 1,-1 0,-2 0,4 2,0 0,0 1,-1 0,0 0,-2 0,1 0,-4 1</inkml:trace>
  <inkml:trace contextRef="#ctx0" brushRef="#br0" timeOffset="5314.36">2118 3282,'0'-3,"0"-4,0-4,0-3,0-5,0-6,0-1,0 1,0-1,0-3,0 1,0 2,0 0,0 0,0-3,0-3,0-2,0-5,0-4,0-1,0-5,0-3,0 4,0 1,0 0,0 5,0 0,0 2,0 1,0-1,0 0,0-3,0-2,0-3,0-2,0-5,0-2,-3 0,-1 1,0 0,1 4,1 2,0 4,2 3,-1 3,1-1,0 1,1 1,-1-1,-3 2,-1-4,0-1,1 1,1-1,1-3,0 1,1 2,-3-1,-1 1,0 3,1 1,1 4,0 3,2 3,-3 1,-1-1,0 1,1 0,1-1,1-3,0 3,1 2,-3 3,-1 2,1 3,0 0,1 2,0-3,-1-1,-1-3,0 0,1-3,1 1,1 2,0 2,1 1,-3 2,-1 1,1 0,0 1,1-1,0 1,2 3</inkml:trace>
  <inkml:trace contextRef="#ctx0" brushRef="#br0" timeOffset="8049.86">1994 142,'-3'0,"-4"0,-4 0,-6 0,-6 0,-2 0,-6 0,-3-3,0-1,1 0,-1 1,3 1,1-2,2-1,0 1,-1 1,-2 1,-2-3,3 1,-1 0,0-2,1 0,-2 1,1 1,-1-1,-3-1,1 2,0-2,0 0,3 1,0-1,0 0,-1 1,2 1,4 2,-1 1,2 0,1 1,3 0,2 1,-3-1,-2 0,-4 0,-4 0,-1-3,1 0,4-1,3 1,3 1,2 0,1 1,2 1,0 0,0 0,0 0,0 1,-1-1,1 0,-1 0,1 0,-1 0,1 0,-1 0,0 0,1 0,-1 0,0 0,1 0,-1 0,0 0,1 0,-1 0,1 0,-1 0,3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1-01T17:00:51.758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gnorePressure" value="1"/>
      <inkml:brushProperty name="inkEffects" value="pencil"/>
    </inkml:brush>
  </inkml:definitions>
  <inkml:trace contextRef="#ctx0" brushRef="#br0">1183 19,'-3'0,"-4"0,-4 0,-3 0,-2 0,-1 0,-1 0,-1 0,1 0,0 0,0 0,0 0,0 0,0 0,1 0,-4 0,2-3,-1-1,-1 0,1 1,-3 1,0 0,-3 2,1-1,1 1,-1 0,1 1,1-1,1 0,3 0,0 0,1 0,0 0,1 0,0 0,-1 0,1 0,-1 0,1 0,-4 0,-3 0,-5 0,1 0,1 0,3 0,2 0,2 0,1 0,1 0,1 0,0 0,0 0,-1 0,1 0,0 0,-1 0,1 0,-1 0,3 3,5 4,3 7,3 4,3 2,0 3,2 4,0 4,-4-4,0-1,-1-1,1-2,1 1,1 2,0 1,1 0,0 3,-3-2,-1-2,1-2,0-3,1-1,0-2,2 0,-1-1,1 0,0 0,1 0,-1 1,0-1,0 4,0 0,0 1,0-2,0 0,0-1,0 0,0-1,0-1,0 1,0-1,0 1,0-1,0 1,0-1,0 1,0 0,0-1,0 1,0 0,0-1,0 1,0-1,0 1,0 0,0-1,0 1,0 0,0-1,0 1,3-3,4-5,4-3,3-3,2-2,1-2,1 0,1-1,-1 0,1 0,-1 1,0 0,-1 0,4-1,1 1,-1 0,3 0,3 1,2-1,1 0,0 0,1 0,-2 0,-2 0,0 0,1 0,-1 0,1 0,-1 0,0 0,-1 0,-2 0,1 0,-3-4,-1 0,4 0,-1-2,2 0,0 1,1 1,-1-1,2-1,-2 2,-2 1,1 1,2 1,3 0,2-2,1-1,-1 1,-4-3,0 0,-2-2,-2 1,-3 0,-1 3,1 1,1 2,-1 0,2 1,0-3,0 0,1-1,3-2,-1 0,-1 1,-2-2,2 1,-2-2,-1 0,-1 2,-1 2,1 1,1 2,0 0,-2 1,0 1,-2-1,1 0,1 1,2-1,-1-3,0-1,-2 0,0 1,-1 1,0 1,0 0,-1 1,1 0,-1 0,1 0,-1 0,1 0,0 0,-1 0,1 0,0 0,-4 0,-3 6,-4 5,-4 4,-1 5,-2 2,0 3,-1 4,0 3,0 2,1-3,0 1,0 0,-1-2,1 0,0-3,0-2,1 0,-1-1,0-1,0 1,0-1,0 2,0 0,0-1,0 1,0 2,0 0,0 1,0-1,0-3,0 2,0-2,0 2,-3-1,-1-1,0 0,1 0,1-1,0 1,2 0,-1 1,1 3,0 6,1 0,-1 3,0 1,0 0,0 0,0 0,0 1,0 1,0-3,0-3,0 0,0-4,0-3,0-4,0 1,0-1,0-2,0 2,0 0,0-1,0 2,0 3,0 0,0-3,0-1,0-2,0-1,0-2,0 0,0-1,0 1,0-1,0 0,0 1,0-1,0 1,0-1,0 1,0 0,0-1,0 1,0 0,0-1,0 1,0-1,0 1,-3-3,-4-5,-4-3,-2-3,-4-2,0-2,-1-1,0 1,-1-1,1 0,0 1,0 0,0-1,0 1,-2 0,-2 0,-2 0,-1 0,-2 0,-2 0,1 0,2 0,2 0,3 0,-2 0,1 0,1 0,0 0,2 0,0 0,1 0,1 0,-4 0,0 0,0 0,0 0,-2 0,1 0,-4 0,-2 0,1 0,1 0,3 0,1 0,3 0,0 0,2 0,-1 0,1 0,3 0,3-3,5-7,2-10,3-6,0-4,2-3,0 2,-1 2,1 4,-1 2,1 3,-1 2,0-3,0 0,0-3,0-3,0-3,0-5,0-3,0-4,0 2,0 2,0 1,0 2,0 2,0 6,0 0,0-1,0 1,0-1,0 2,0 2,0-1,0 1,0-2,0 1,0-2,0-1,0 0,0-1,0-1,0 1,0-3,0-3,0 3,0 2,0 2,0-2,0 3,0 1,0 0,0 2,-3-2,-1 1,0 2,1 1,1 2,0 1,2-2,-1 0,1-4,1 1,-1 1,0-2,0 1,0-2,0 0,0 3,0-2,0 0,0 0,0 0,0 1,0 2,0 2,0 1,0 1,0 0,0 1,0-3,0-2,0-2,0-3,0-1,0-1,0 2,0 1,0 4,0 1,0-4,0-4,0 0,0 2,0-1,0-1,0 1,0 2,0 3,0 3,0 0,0 2,0 1,0-4,0 0,0 0,0 1,0 0,0 2,0-1,0 1,0 1,0-1,0 1,0-1,0 1,0-1,0 1,0-1,0 0,0 1,0-1,0 0,0 1,0-1,0 0,0 1,0-1,0 1,0-1,0 0,0 1,0-1,0 0,0 1,0-1,0 3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1-01T17:01:17.386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gnorePressure" value="1"/>
      <inkml:brushProperty name="inkEffects" value="pencil"/>
    </inkml:brush>
  </inkml:definitions>
  <inkml:trace contextRef="#ctx0" brushRef="#br0">1183 19,'-3'0,"-4"0,-4 0,-3 0,-2 0,-1 0,-1 0,-1 0,1 0,0 0,0 0,0 0,0 0,0 0,1 0,-4 0,2-3,-1-1,-1 0,1 1,-3 1,0 0,-3 2,1-1,1 1,-1 0,1 1,1-1,1 0,3 0,0 0,1 0,0 0,1 0,0 0,-1 0,1 0,-1 0,1 0,-4 0,-3 0,-5 0,1 0,1 0,3 0,2 0,2 0,1 0,1 0,1 0,0 0,0 0,-1 0,1 0,0 0,-1 0,1 0,-1 0,3 3,5 4,3 7,3 4,3 2,0 3,2 4,0 4,-4-4,0-1,-1-1,1-2,1 1,1 2,0 1,1 0,0 3,-3-2,-1-2,1-2,0-3,1-1,0-2,2 0,-1-1,1 0,0 0,1 0,-1 1,0-1,0 4,0 0,0 1,0-2,0 0,0-1,0 0,0-1,0-1,0 1,0-1,0 1,0-1,0 1,0-1,0 1,0 0,0-1,0 1,0 0,0-1,0 1,0-1,0 1,0 0,0-1,0 1,0 0,0-1,0 1,3-3,4-5,4-3,3-3,2-2,1-2,1 0,1-1,-1 0,1 0,-1 1,0 0,-1 0,4-1,1 1,-1 0,3 0,3 1,2-1,1 0,0 0,1 0,-2 0,-2 0,0 0,1 0,-1 0,1 0,-1 0,0 0,-1 0,-2 0,1 0,-3-4,-1 0,4 0,-1-2,2 0,0 1,1 1,-1-1,2-1,-2 2,-2 1,1 1,2 1,3 0,2-2,1-1,-1 1,-4-3,0 0,-2-2,-2 1,-3 0,-1 3,1 1,1 2,-1 0,2 1,0-3,0 0,1-1,3-2,-1 0,-1 1,-2-2,2 1,-2-2,-1 0,-1 2,-1 2,1 1,1 2,0 0,-2 1,0 1,-2-1,1 0,1 1,2-1,-1-3,0-1,-2 0,0 1,-1 1,0 1,0 0,-1 1,1 0,-1 0,1 0,-1 0,1 0,0 0,-1 0,1 0,0 0,-4 0,-3 6,-4 5,-4 4,-1 5,-2 2,0 3,-1 4,0 3,0 2,1-3,0 1,0 0,-1-2,1 0,0-3,0-2,1 0,-1-1,0-1,0 1,0-1,0 2,0 0,0-1,0 1,0 2,0 0,0 1,0-1,0-3,0 2,0-2,0 2,-3-1,-1-1,0 0,1 0,1-1,0 1,2 0,-1 1,1 3,0 6,1 0,-1 3,0 1,0 0,0 0,0 0,0 1,0 1,0-3,0-3,0 0,0-4,0-3,0-4,0 1,0-1,0-2,0 2,0 0,0-1,0 2,0 3,0 0,0-3,0-1,0-2,0-1,0-2,0 0,0-1,0 1,0-1,0 0,0 1,0-1,0 1,0-1,0 1,0 0,0-1,0 1,0 0,0-1,0 1,0-1,0 1,-3-3,-4-5,-4-3,-2-3,-4-2,0-2,-1-1,0 1,-1-1,1 0,0 1,0 0,0-1,0 1,-2 0,-2 0,-2 0,-1 0,-2 0,-2 0,1 0,2 0,2 0,3 0,-2 0,1 0,1 0,0 0,2 0,0 0,1 0,1 0,-4 0,0 0,0 0,0 0,-2 0,1 0,-4 0,-2 0,1 0,1 0,3 0,1 0,3 0,0 0,2 0,-1 0,1 0,3 0,3-3,5-7,2-10,3-6,0-4,2-3,0 2,-1 2,1 4,-1 2,1 3,-1 2,0-3,0 0,0-3,0-3,0-3,0-5,0-3,0-4,0 2,0 2,0 1,0 2,0 2,0 6,0 0,0-1,0 1,0-1,0 2,0 2,0-1,0 1,0-2,0 1,0-2,0-1,0 0,0-1,0-1,0 1,0-3,0-3,0 3,0 2,0 2,0-2,0 3,0 1,0 0,0 2,-3-2,-1 1,0 2,1 1,1 2,0 1,2-2,-1 0,1-4,1 1,-1 1,0-2,0 1,0-2,0 0,0 3,0-2,0 0,0 0,0 0,0 1,0 2,0 2,0 1,0 1,0 0,0 1,0-3,0-2,0-2,0-3,0-1,0-1,0 2,0 1,0 4,0 1,0-4,0-4,0 0,0 2,0-1,0-1,0 1,0 2,0 3,0 3,0 0,0 2,0 1,0-4,0 0,0 0,0 1,0 0,0 2,0-1,0 1,0 1,0-1,0 1,0-1,0 1,0-1,0 1,0-1,0 0,0 1,0-1,0 0,0 1,0-1,0 0,0 1,0-1,0 1,0-1,0 0,0 1,0-1,0 0,0 1,0-1,0 3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1-01T17:05:45.685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gnorePressure" value="1"/>
      <inkml:brushProperty name="inkEffects" value="pencil"/>
    </inkml:brush>
  </inkml:definitions>
  <inkml:trace contextRef="#ctx0" brushRef="#br0">1309 3581,'0'-3,"0"-4,0-3,0-4,0-2,0-1,0-2,0 1,0 0,0-1,0 1,-3 0,-1 0,0 1,1-1,1 0,1 1,0-1,1 1,0-1,0 0,-3 4,-1-3,1-1,0 0,1-1,0 1,2 0,-1 0,1-3,0-1,1 0,-1 2,0 0,0 1,0 1,0 0,0 0,0 1,0-1,0 1,0-1,0 1,0-1,0-3,0 0,0-1,-3 5,-1 1,0 1,1-1,0 1,2-2,0 1,1-2,0 1,0-1,0 1,0-1,1 0,-1 0,0 1,0-1,0 0,0 1,0-1,-3 0,-1 1,0-1,1 1,4 2,5 4,7 5,4 2,3 2,1 2,-1 1,0-1,-1 1,0 0,-1-1,0 0,0 1,-1-1,1 0,-1 0,1 0,-1 0,1 0,0 0,-1 0,1 0,0 0,-1 0,1 0,-1 3,4 1,1-1,-1 0,3-1,0 0,1-1,1-1,-2 0,-2 0,-2 0,-1-1,0 1,-2 0,1 0,-1 0,0 3,1 1,-1 0,0-1,1-1,0-1,-1 0,1-1,0 0,-1 0,1 3,0 1,-1-1,1 0,0 0,-1-2,1 0,-1-1,1 0,0 0,-1 0,-2-4,-4-3,-5-3,-2-4,-2-3,-2-3,-4-2,0-3,-1-4,2 1,-3-4,0-6,2 1,0-6,2 2,1-1,0-6,1 0,0 1,1 4,-1 2,0 3,0 1,0 5,0 1,0-3,0 1,-3 1,0-1,-1 0,1-5,1 3,0 0,1 1,1 2,0 2,0 2,0 0,1-1,-4 1,-1-1,0 3,1 1,1 0,1 1,0-2,1 1,0-1,0 0,0 2,0 2,0-1,0-3,0 0,0-1,0-3,0-2,0-1,-3-1,-1-1,0 2,1-2,-2 6,-1 3,2 2,1 0,0 3,-1 1,0 1,0 1,1 0,1 0,1 1,0 0,1 0,0-1,0 1,-2-1,-2 0,0 1,1-1,-2 4,-3 3,-4 4,-2 3,-2 3,-4 1,-2 0,-3 1,-3 0,-1-1,-3-2,-3-2,-1 0,-1 1,-2-2,-2-1,-2-1,-6-1,-3 2,-6 2,-4 1,-1 2,-4 0,2 1,4-2,4-2,4 0,3 2,4-3,7 0,1 0,1 2,3 1,2 0,1 2,2 0,0 0,-1 0,-1 0,-2-3,2 0,-3-1,-1 1,2 1,0 1,1 0,2 1,3 0,3 0,4 0,1 0,1 0,0 0,-2 0,-4 0,0 0,-4 0,-1 0,0 0,3 3,-1 1,1 3,3 0,-2 2,1-1,2-1,1-2,2-3,0 0,4 1,5 4,3 7,4 3,1 3,2 6,1 5,0 0,0 4,2 5,2-1,-1 1,2 4,0-1,-1 2,2 3,-1 1,-1-1,-1 0,-2 1,-1 1,0 1,-1 4,3-1,0 1,1 2,-1 2,-1-3,-1-1,2-2,2-3,-2-2,0 0,-1-4,0-2,-2 2,0-4,0 0,0-1,0 3,0 2,0 4,0-2,0 2,0 1,0-2,0 0,0 1,0-4,0-1,0 1,0-4,0 1,0 2,0-1,0-1,0 5,0-3,0 3,0 4,0-5,0-1,0-4,0-4,0-1,0-4,0-1,0-3,0 3,0-1,0-1,0-1,0-1,0 1,0-2,0-1,0 1,0-1,0-2,0 2,0 3,0 2,0 0,0-2,0-3,0-3,0-1,0-1,0-2,0 0,0 0,0 1,0-1,0 0,3-2,4-5,4-3,3-3,2-3,1 0,1-2,1 1,-4-4,2-1,2 1,-1 1,1 0,-1-1,1-1,-1-2,0 0,2 1,5-1,3 0,1 2,-3 1,-1 2,-3 0,1 2,-4-3,-1-1,1 1,5 0,0 1,-1 1,-1 0,-1 1,-1 0,-2 0,0 0,0 1,-1-1,0 0,1 0,-1 0,1 0,-1 0,1 0,0 0,-1 0,1 0,0 0,-1 0,1 0,-1 0,1 0,0 0,-1 0,1 0,0 0,-1 0,1 0,0 0,-1 0,1 0,-1 0,1 0,0 0,-1 0,1 0,-3 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1-01T17:05:52.901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gnorePressure" value="1"/>
      <inkml:brushProperty name="inkEffects" value="pencil"/>
    </inkml:brush>
  </inkml:definitions>
  <inkml:trace contextRef="#ctx0" brushRef="#br0">1309 3581,'0'-3,"0"-4,0-3,0-4,0-2,0-1,0-2,0 1,0 0,0-1,0 1,-3 0,-1 0,0 1,1-1,1 0,1 1,0-1,1 1,0-1,0 0,-3 4,-1-3,1-1,0 0,1-1,0 1,2 0,-1 0,1-3,0-1,1 0,-1 2,0 0,0 1,0 1,0 0,0 0,0 1,0-1,0 1,0-1,0 1,0-1,0-3,0 0,0-1,-3 5,-1 1,0 1,1-1,0 1,2-2,0 1,1-2,0 1,0-1,0 1,0-1,1 0,-1 0,0 1,0-1,0 0,0 1,0-1,-3 0,-1 1,0-1,1 1,4 2,5 4,7 5,4 2,3 2,1 2,-1 1,0-1,-1 1,0 0,-1-1,0 0,0 1,-1-1,1 0,-1 0,1 0,-1 0,1 0,0 0,-1 0,1 0,0 0,-1 0,1 0,-1 3,4 1,1-1,-1 0,3-1,0 0,1-1,1-1,-2 0,-2 0,-2 0,-1-1,0 1,-2 0,1 0,-1 0,0 3,1 1,-1 0,0-1,1-1,0-1,-1 0,1-1,0 0,-1 0,1 3,0 1,-1-1,1 0,0 0,-1-2,1 0,-1-1,1 0,0 0,-1 0,-2-4,-4-3,-5-3,-2-4,-2-3,-2-3,-4-2,0-3,-1-4,2 1,-3-4,0-6,2 1,0-6,2 2,1-1,0-6,1 0,0 1,1 4,-1 2,0 3,0 1,0 5,0 1,0-3,0 1,-3 1,0-1,-1 0,1-5,1 3,0 0,1 1,1 2,0 2,0 2,0 0,1-1,-4 1,-1-1,0 3,1 1,1 0,1 1,0-2,1 1,0-1,0 0,0 2,0 2,0-1,0-3,0 0,0-1,0-3,0-2,0-1,-3-1,-1-1,0 2,1-2,-2 6,-1 3,2 2,1 0,0 3,-1 1,0 1,0 1,1 0,1 0,1 1,0 0,1 0,0-1,0 1,-2-1,-2 0,0 1,1-1,-2 4,-3 3,-4 4,-2 3,-2 3,-4 1,-2 0,-3 1,-3 0,-1-1,-3-2,-3-2,-1 0,-1 1,-2-2,-2-1,-2-1,-6-1,-3 2,-6 2,-4 1,-1 2,-4 0,2 1,4-2,4-2,4 0,3 2,4-3,7 0,1 0,1 2,3 1,2 0,1 2,2 0,0 0,-1 0,-1 0,-2-3,2 0,-3-1,-1 1,2 1,0 1,1 0,2 1,3 0,3 0,4 0,1 0,1 0,0 0,-2 0,-4 0,0 0,-4 0,-1 0,0 0,3 3,-1 1,1 3,3 0,-2 2,1-1,2-1,1-2,2-3,0 0,4 1,5 4,3 7,4 3,1 3,2 6,1 5,0 0,0 4,2 5,2-1,-1 1,2 4,0-1,-1 2,2 3,-1 1,-1-1,-1 0,-2 1,-1 1,0 1,-1 4,3-1,0 1,1 2,-1 2,-1-3,-1-1,2-2,2-3,-2-2,0 0,-1-4,0-2,-2 2,0-4,0 0,0-1,0 3,0 2,0 4,0-2,0 2,0 1,0-2,0 0,0 1,0-4,0-1,0 1,0-4,0 1,0 2,0-1,0-1,0 5,0-3,0 3,0 4,0-5,0-1,0-4,0-4,0-1,0-4,0-1,0-3,0 3,0-1,0-1,0-1,0-1,0 1,0-2,0-1,0 1,0-1,0-2,0 2,0 3,0 2,0 0,0-2,0-3,0-3,0-1,0-1,0-2,0 0,0 0,0 1,0-1,0 0,3-2,4-5,4-3,3-3,2-3,1 0,1-2,1 1,-4-4,2-1,2 1,-1 1,1 0,-1-1,1-1,-1-2,0 0,2 1,5-1,3 0,1 2,-3 1,-1 2,-3 0,1 2,-4-3,-1-1,1 1,5 0,0 1,-1 1,-1 0,-1 1,-1 0,-2 0,0 0,0 1,-1-1,0 0,1 0,-1 0,1 0,-1 0,1 0,0 0,-1 0,1 0,0 0,-1 0,1 0,-1 0,1 0,0 0,-1 0,1 0,0 0,-1 0,1 0,0 0,-1 0,1 0,-1 0,1 0,0 0,-1 0,1 0,-3 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1T17:15:29.639"/>
    </inkml:context>
    <inkml:brush xml:id="br0">
      <inkml:brushProperty name="width" value="0.00882" units="cm"/>
      <inkml:brushProperty name="height" value="0.00882" units="cm"/>
      <inkml:brushProperty name="color" value="#767171"/>
    </inkml:brush>
  </inkml:definitions>
  <inkml:trace contextRef="#ctx0" brushRef="#br0">2245 4520 24575,'0'-918'0,"0"916"0,-1 0 0,1 0 0,0 0 0,1-1 0,-1 1 0,0 0 0,1 0 0,-1 0 0,1 0 0,-1 0 0,1 0 0,0 0 0,0 0 0,0 0 0,0 0 0,1 0 0,-1 0 0,0 1 0,1-1 0,-1 0 0,3-1 0,-1 2 0,0-1 0,1 1 0,-1-1 0,1 1 0,0 0 0,-1 0 0,1 1 0,0-1 0,0 1 0,-1 0 0,8 0 0,785 3 0,-794-3 0,0 0 0,-1 0 0,1 0 0,-1 0 0,1 0 0,-1-1 0,1 1 0,0-1 0,-1 1 0,1-1 0,-1 0 0,0 1 0,1-1 0,-1 0 0,0 0 0,1 0 0,-1 0 0,0 0 0,0 0 0,0-1 0,0 1 0,0 0 0,0 0 0,0-1 0,0 1 0,-1-1 0,1 1 0,0-1 0,-1 1 0,1-1 0,-1 1 0,0-1 0,1-2 0,0-6 0,0-1 0,-1 1 0,0 0 0,-3-15 0,1 0 0,-1-877 0,5 482 0,-2-303 0,0 721 0,-1 0 0,1-1 0,-1 1 0,1 0 0,-1 0 0,0 0 0,0-1 0,0 1 0,0 0 0,0 0 0,-1 0 0,1 1 0,-1-1 0,1 0 0,-1 0 0,0 1 0,1-1 0,-1 1 0,0-1 0,0 1 0,0 0 0,0 0 0,0 0 0,0 0 0,0 0 0,-1 0 0,-3 0 0,-10-3 0,0 0 0,0 1 0,-16 0 0,15 1 0,-546-55 0,194 22 0,-281-4 0,-24 40 0,605 2 0,-115 21 0,119-13 0,0-3 0,-69-1 0,100-6 0,-65 10 0,94-10 0,-22 1 0,21-2 0,1 0 0,-1 0 0,1 1 0,0 0 0,-11 2 0,15-2 0,0-1 0,-1 1 0,1 0 0,0 0 0,0-1 0,-1 1 0,1 0 0,0 0 0,0 0 0,0 0 0,0 1 0,0-1 0,0 0 0,1 0 0,-1 1 0,0-1 0,1 0 0,-1 1 0,1-1 0,-1 0 0,1 1 0,-1-1 0,1 1 0,0-1 0,0 1 0,0 1 0,0 185 0,3-75 0,-3 609 0,0-720 0,0 0 0,1 0 0,-1-1 0,0 1 0,1 0 0,-1 0 0,1-1 0,0 1 0,0-1 0,0 1 0,0 0 0,0-1 0,0 0 0,0 1 0,0-1 0,0 0 0,1 1 0,-1-1 0,0 0 0,1 0 0,-1 0 0,1 0 0,-1 0 0,1 0 0,0-1 0,-1 1 0,1-1 0,0 1 0,-1-1 0,1 1 0,0-1 0,0 0 0,3 0 0,8 1 0,0 0 0,1-1 0,19-3 0,-21 2 0,230-37 0,-42 3 0,168 18 0,-212 8 0,2 0 0,839 9 0,-969 2 0,1 1 0,-1 1 0,48 14 0,-48-10 0,1-2 0,-1-1 0,46 3 0,244 4 0,57-5 0,-214-10 0,457 3 0,-616 0 0,-1 0 0,1 0 0,0 0 0,-1 0 0,1-1 0,0 1 0,-1-1 0,1 1 0,-1-1 0,1 0 0,-1 0 0,1 1 0,-1-1 0,0 0 0,1 0 0,-1 0 0,0-1 0,0 1 0,0 0 0,0 0 0,0-1 0,0 1 0,0 0 0,0-1 0,0 1 0,-1-1 0,1 1 0,-1-1 0,1 0 0,-1 1 0,1-1 0,-1 1 0,0-1 0,0-1 0,1-10 0,0 1 0,-1 0 0,-3-23 0,1 8 0,-1-847 0,5 455 0,-2-304 0,0 721 0,0-1 0,0 1 0,0 0 0,0 0 0,0 0 0,-1-1 0,1 1 0,-1 0 0,1 0 0,-1 0 0,0 0 0,0 0 0,0 0 0,0 0 0,0 0 0,0 0 0,0 1 0,-1-1 0,-2-2 0,1 2 0,0 1 0,0-1 0,0 1 0,0 0 0,0 0 0,0 0 0,-1 0 0,1 0 0,0 1 0,-1-1 0,1 1 0,-4 0 0,-270 1 0,110 1 0,89-2 0,-295-11 0,171 6 0,-7 0 0,119-10 0,59 8 0,0 2 0,-36-1 0,-376 5 0,195 3 0,238-3 0,0 0 0,0 0 0,0-1 0,0-1 0,0 1 0,1-2 0,-1 1 0,1-1 0,0-1 0,-13-8 0,16 10 0,-1 0 0,1 1 0,0 0 0,-1 0 0,1 0 0,-1 1 0,1 0 0,-14-1 0,-60 4 0,33 0 0,-517-2 0,562 0 0,1 0 0,-1 0 0,1 0 0,-1 1 0,1-1 0,-1 0 0,1 1 0,-1-1 0,1 0 0,-1 1 0,1 0 0,-1-1 0,1 1 0,0 0 0,-1 0 0,1 0 0,0 0 0,0 0 0,0 0 0,0 0 0,0 0 0,0 0 0,0 1 0,0-1 0,0 0 0,0 1 0,1-1 0,-1 0 0,0 1 0,1-1 0,-1 1 0,1-1 0,0 1 0,0-1 0,-1 1 0,1 3 0,0 6 0,1 0 0,0 0 0,0 0 0,4 16 0,0 0 0,7 186 0,-4-40 0,27 347 0,-26-330 0,6 61 0,39 292 0,-34-295 0,-4-61 0,3 952 0,-21-740 0,2 83 0,-1-479 0,1-1 0,0 0 0,1 0 0,-1 1 0,0-1 0,0 0 0,1 0 0,0 0 0,-1 0 0,1 0 0,0 0 0,0 0 0,0 0 0,0 0 0,0 0 0,1 0 0,-1 0 0,1-1 0,-1 1 0,1 0 0,-1-1 0,1 0 0,3 3 0,-2-3 0,1 1 0,-1-1 0,0 0 0,1-1 0,-1 1 0,0-1 0,1 1 0,-1-1 0,1 0 0,-1 0 0,1 0 0,-1-1 0,0 1 0,1-1 0,3-1 0,39-9 0,1 2 0,0 2 0,0 2 0,72 2 0,304 3-1365,-408 0-5461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1T17:16:54.077"/>
    </inkml:context>
    <inkml:brush xml:id="br0">
      <inkml:brushProperty name="width" value="0.00882" units="cm"/>
      <inkml:brushProperty name="height" value="0.00882" units="cm"/>
      <inkml:brushProperty name="color" value="#767171"/>
    </inkml:brush>
  </inkml:definitions>
  <inkml:trace contextRef="#ctx0" brushRef="#br0">2245 4520 24575,'0'-918'0,"0"916"0,-1 0 0,1 0 0,0 0 0,1-1 0,-1 1 0,0 0 0,1 0 0,-1 0 0,1 0 0,-1 0 0,1 0 0,0 0 0,0 0 0,0 0 0,0 0 0,1 0 0,-1 0 0,0 1 0,1-1 0,-1 0 0,3-1 0,-1 2 0,0-1 0,1 1 0,-1-1 0,1 1 0,0 0 0,-1 0 0,1 1 0,0-1 0,0 1 0,-1 0 0,8 0 0,785 3 0,-794-3 0,0 0 0,-1 0 0,1 0 0,-1 0 0,1 0 0,-1-1 0,1 1 0,0-1 0,-1 1 0,1-1 0,-1 0 0,0 1 0,1-1 0,-1 0 0,0 0 0,1 0 0,-1 0 0,0 0 0,0 0 0,0-1 0,0 1 0,0 0 0,0 0 0,0-1 0,0 1 0,-1-1 0,1 1 0,0-1 0,-1 1 0,1-1 0,-1 1 0,0-1 0,1-2 0,0-6 0,0-1 0,-1 1 0,0 0 0,-3-15 0,1 0 0,-1-877 0,5 482 0,-2-303 0,0 721 0,-1 0 0,1-1 0,-1 1 0,1 0 0,-1 0 0,0 0 0,0-1 0,0 1 0,0 0 0,0 0 0,-1 0 0,1 1 0,-1-1 0,1 0 0,-1 0 0,0 1 0,1-1 0,-1 1 0,0-1 0,0 1 0,0 0 0,0 0 0,0 0 0,0 0 0,0 0 0,-1 0 0,-3 0 0,-10-3 0,0 0 0,0 1 0,-16 0 0,15 1 0,-546-55 0,194 22 0,-281-4 0,-24 40 0,605 2 0,-115 21 0,119-13 0,0-3 0,-69-1 0,100-6 0,-65 10 0,94-10 0,-22 1 0,21-2 0,1 0 0,-1 0 0,1 1 0,0 0 0,-11 2 0,15-2 0,0-1 0,-1 1 0,1 0 0,0 0 0,0-1 0,-1 1 0,1 0 0,0 0 0,0 0 0,0 0 0,0 1 0,0-1 0,0 0 0,1 0 0,-1 1 0,0-1 0,1 0 0,-1 1 0,1-1 0,-1 0 0,1 1 0,-1-1 0,1 1 0,0-1 0,0 1 0,0 1 0,0 185 0,3-75 0,-3 609 0,0-720 0,0 0 0,1 0 0,-1-1 0,0 1 0,1 0 0,-1 0 0,1-1 0,0 1 0,0-1 0,0 1 0,0 0 0,0-1 0,0 0 0,0 1 0,0-1 0,0 0 0,1 1 0,-1-1 0,0 0 0,1 0 0,-1 0 0,1 0 0,-1 0 0,1 0 0,0-1 0,-1 1 0,1-1 0,0 1 0,-1-1 0,1 1 0,0-1 0,0 0 0,3 0 0,8 1 0,0 0 0,1-1 0,19-3 0,-21 2 0,230-37 0,-42 3 0,168 18 0,-212 8 0,2 0 0,839 9 0,-969 2 0,1 1 0,-1 1 0,48 14 0,-48-10 0,1-2 0,-1-1 0,46 3 0,244 4 0,57-5 0,-214-10 0,457 3 0,-616 0 0,-1 0 0,1 0 0,0 0 0,-1 0 0,1-1 0,0 1 0,-1-1 0,1 1 0,-1-1 0,1 0 0,-1 0 0,1 1 0,-1-1 0,0 0 0,1 0 0,-1 0 0,0-1 0,0 1 0,0 0 0,0 0 0,0-1 0,0 1 0,0 0 0,0-1 0,0 1 0,-1-1 0,1 1 0,-1-1 0,1 0 0,-1 1 0,1-1 0,-1 1 0,0-1 0,0-1 0,1-10 0,0 1 0,-1 0 0,-3-23 0,1 8 0,-1-847 0,5 455 0,-2-304 0,0 721 0,0-1 0,0 1 0,0 0 0,0 0 0,0 0 0,-1-1 0,1 1 0,-1 0 0,1 0 0,-1 0 0,0 0 0,0 0 0,0 0 0,0 0 0,0 0 0,0 0 0,0 1 0,-1-1 0,-2-2 0,1 2 0,0 1 0,0-1 0,0 1 0,0 0 0,0 0 0,0 0 0,-1 0 0,1 0 0,0 1 0,-1-1 0,1 1 0,-4 0 0,-270 1 0,110 1 0,89-2 0,-295-11 0,171 6 0,-7 0 0,119-10 0,59 8 0,0 2 0,-36-1 0,-376 5 0,195 3 0,238-3 0,0 0 0,0 0 0,0-1 0,0-1 0,0 1 0,1-2 0,-1 1 0,1-1 0,0-1 0,-13-8 0,16 10 0,-1 0 0,1 1 0,0 0 0,-1 0 0,1 0 0,-1 1 0,1 0 0,-14-1 0,-60 4 0,33 0 0,-517-2 0,562 0 0,1 0 0,-1 0 0,1 0 0,-1 1 0,1-1 0,-1 0 0,1 1 0,-1-1 0,1 0 0,-1 1 0,1 0 0,-1-1 0,1 1 0,0 0 0,-1 0 0,1 0 0,0 0 0,0 0 0,0 0 0,0 0 0,0 0 0,0 0 0,0 1 0,0-1 0,0 0 0,0 1 0,1-1 0,-1 0 0,0 1 0,1-1 0,-1 1 0,1-1 0,0 1 0,0-1 0,-1 1 0,1 3 0,0 6 0,1 0 0,0 0 0,0 0 0,4 16 0,0 0 0,7 186 0,-4-40 0,27 347 0,-26-330 0,6 61 0,39 292 0,-34-295 0,-4-61 0,3 952 0,-21-740 0,2 83 0,-1-479 0,1-1 0,0 0 0,1 0 0,-1 1 0,0-1 0,0 0 0,1 0 0,0 0 0,-1 0 0,1 0 0,0 0 0,0 0 0,0 0 0,0 0 0,0 0 0,1 0 0,-1 0 0,1-1 0,-1 1 0,1 0 0,-1-1 0,1 0 0,3 3 0,-2-3 0,1 1 0,-1-1 0,0 0 0,1-1 0,-1 1 0,0-1 0,1 1 0,-1-1 0,1 0 0,-1 0 0,1 0 0,-1-1 0,0 1 0,1-1 0,3-1 0,39-9 0,1 2 0,0 2 0,0 2 0,72 2 0,304 3-1365,-408 0-5461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1T17:24:14.110"/>
    </inkml:context>
    <inkml:brush xml:id="br0">
      <inkml:brushProperty name="width" value="0.00882" units="cm"/>
      <inkml:brushProperty name="height" value="0.00882" units="cm"/>
      <inkml:brushProperty name="color" value="#767171"/>
    </inkml:brush>
  </inkml:definitions>
  <inkml:trace contextRef="#ctx0" brushRef="#br0">1 2510 24575,'0'-2453'0,"-1"2451"0,1 0 0,0-1 0,0 1 0,0 0 0,1 0 0,-1 0 0,0 0 0,1 0 0,-1 0 0,1 0 0,0 0 0,0 0 0,0 0 0,0 0 0,0 0 0,0 0 0,0 1 0,1-1 0,-1 0 0,0 1 0,1-1 0,2-1 0,0 1 0,0 1 0,0-1 0,0 1 0,0 0 0,0 0 0,1 0 0,-1 0 0,0 1 0,1 0 0,6 0 0,694 4 0,-573 6 0,-54-2 0,177 11 0,-60 6 0,-135-14 0,110 5 0,60-18 0,143 4 0,-243 6 0,71 1 0,-37 0 0,2 0 0,441-10 0,-563-1 0,43-8 0,-32 4 0,-4-2 0,31-1 0,-41 6 0,64-13 0,6-1 0,-49 11 0,110-5 0,244 12 0,-414-2 0,0 1 0,0 0 0,0 0 0,-1 0 0,1 0 0,0 1 0,0-1 0,0 1 0,0-1 0,0 1 0,0-1 0,0 1 0,-1 0 0,1 0 0,0 0 0,-1 0 0,1 0 0,0 0 0,-1 1 0,1-1 0,-1 1 0,0-1 0,0 1 0,1-1 0,0 4 0,1 1 0,-2 0 0,1 0 0,-1 0 0,0 0 0,0 0 0,-1 1 0,0 6 0,0 384 0,-3-158 0,3-167 0,-1 7 0,13 115 0,-5-112 0,-5 147 0,-4-107 0,12 6 0,-1-53 0,24 189 0,-27-212 0,0-11 0,1 59 0,-8 375 0,1-472 0,0-1 0,0 0 0,0 0 0,0 0 0,0 1 0,0-1 0,-1 0 0,1 0 0,-1 0 0,0 0 0,0 0 0,0 0 0,1 0 0,-2 0 0,1 0 0,0 0 0,0 0 0,-1-1 0,1 1 0,-1-1 0,-1 2 0,0-1 0,-1 0 0,1-1 0,-1 1 0,1-1 0,-1 0 0,0 0 0,1-1 0,-1 1 0,0-1 0,0 0 0,-6 0 0,-903-4 0,720 13 0,3 1 0,-72 8 0,71-1 0,30 1 0,45-3 0,-282 5 0,238-11 0,2-1 0,-1101-8 0,1227-2 0,-35-5 0,36 2 0,-40 1 0,24 4 0,21 2 0,1-2 0,-1-1 0,1-1 0,-1-1 0,-47-12 0,51 7 0,-1 1 0,0 1 0,0 1 0,0 1 0,-27-1 0,8 2-1365,25-1-5461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1T17:24:23.882"/>
    </inkml:context>
    <inkml:brush xml:id="br0">
      <inkml:brushProperty name="width" value="0.025" units="cm"/>
      <inkml:brushProperty name="height" value="0.025" units="cm"/>
      <inkml:brushProperty name="color" value="#E71224"/>
    </inkml:brush>
  </inkml:definitions>
  <inkml:trace contextRef="#ctx0" brushRef="#br0">941 2 24575,'-132'-2'0,"-140"4"0,199 7 0,-140 33 0,158-29 0,39-10 0,-1-1 0,0 0 0,-29-2 0,-14 0 0,58 1 0,0-1 0,0 0 0,1 1 0,-1 0 0,0-1 0,0 1 0,0 0 0,1 0 0,-1 0 0,0 0 0,1 0 0,-1 0 0,1 0 0,-1 1 0,1-1 0,-1 1 0,1-1 0,0 1 0,0-1 0,0 1 0,0 0 0,0-1 0,0 1 0,0 0 0,1 0 0,-1 0 0,1 0 0,-1 0 0,1-1 0,0 1 0,-1 0 0,1 0 0,0 0 0,1 4 0,-1 9 0,1 0 0,1-1 0,6 25 0,-5-22 0,28 158 0,-25-152 0,9 42 0,11 97 0,-26-6 0,1 11 0,0-166 0,-1 1 0,0 0 0,0-1 0,1 1 0,-1 0 0,1-1 0,0 1 0,-1-1 0,1 1 0,0-1 0,0 1 0,0-1 0,0 0 0,0 1 0,0-1 0,0 0 0,1 0 0,-1 0 0,0 0 0,1 0 0,-1 0 0,0 0 0,1 0 0,-1 0 0,1-1 0,0 1 0,1 0 0,6 1 0,0-1 0,-1 1 0,1-2 0,11 1 0,14 1 0,31 6 0,0-4 0,104-5 0,-56-1 0,14 13 0,-60-3 0,-7-1 0,-27-2 0,42 0 0,-30-6 0,-19 0 0,1 1 0,-1 1 0,0 1 0,32 7 0,-56-8 0,-1-1 0,1 0 0,-1 1 0,1-1 0,-1 0 0,1 0 0,-1 0 0,1 0 0,-1 0 0,1-1 0,-1 1 0,1 0 0,-1-1 0,1 1 0,-1-1 0,1 1 0,-1-1 0,0 1 0,1-1 0,-1 0 0,0 0 0,0 0 0,0 0 0,1 0 0,-1 0 0,0 0 0,0 0 0,0-1 0,-1 1 0,1 0 0,0 0 0,0-1 0,-1 1 0,1-1 0,-1 1 0,1 0 0,-1-1 0,1 1 0,-1-1 0,0-2 0,2-9 0,-1 1 0,0-1 0,-1 0 0,-2-13 0,2 9 0,-3-348 0,4 241 0,-2 105 0,-1 1 0,-5-21 0,-2-33 0,7 46 45,-1 1-1,-10-37 1,-3-25-1544,15 72-5327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1T17:24:28.852"/>
    </inkml:context>
    <inkml:brush xml:id="br0">
      <inkml:brushProperty name="width" value="0.00882" units="cm"/>
      <inkml:brushProperty name="height" value="0.00882" units="cm"/>
      <inkml:brushProperty name="color" value="#767171"/>
    </inkml:brush>
  </inkml:definitions>
  <inkml:trace contextRef="#ctx0" brushRef="#br0">392 39 24575,'0'-2'0,"-1"1"0,1-1 0,0 0 0,-1 1 0,1-1 0,-1 1 0,0-1 0,1 1 0,-1-1 0,0 1 0,0-1 0,0 1 0,0-1 0,0 1 0,0 0 0,-1 0 0,1 0 0,0 0 0,0 0 0,-1 0 0,1 0 0,-1 0 0,1 0 0,-1 0 0,1 1 0,-1-1 0,0 1 0,1-1 0,-1 1 0,0 0 0,1 0 0,-3-1 0,-9 0 0,0 0 0,0 0 0,-17 2 0,15 0 0,-16-1 0,12 0 0,0 0 0,-34 6 0,47-4 0,-1-1 0,1 1 0,0 0 0,0 1 0,0 0 0,0 0 0,0 0 0,1 1 0,-1-1 0,1 1 0,-9 9 0,7-5 0,0 0 0,1 1 0,0 0 0,1-1 0,0 2 0,0-1 0,1 1 0,0-1 0,1 1 0,0 0 0,0 1 0,-1 14 0,1 3 0,1 0 0,2 1 0,4 39 0,-4-63 0,1 0 0,0 0 0,0 0 0,1 0 0,-1 0 0,1 0 0,0 0 0,0-1 0,1 1 0,0 0 0,-1-1 0,1 0 0,1 0 0,-1 0 0,1 0 0,-1 0 0,1-1 0,0 0 0,0 0 0,1 0 0,-1 0 0,1 0 0,-1-1 0,1 0 0,9 3 0,4 0 0,0-1 0,0 0 0,0-1 0,0-1 0,0-1 0,20-2 0,-20 1 0,-4 1 0,-1-1 0,0-1 0,0 0 0,0 0 0,1-1 0,-2-1 0,1 0 0,0-1 0,-1-1 0,16-7 0,-22 9 0,-1-1 0,1 0 0,-1 0 0,0-1 0,-1 1 0,1-1 0,-1 0 0,1 0 0,-2-1 0,1 1 0,0-1 0,-1 0 0,0 0 0,-1 0 0,1 0 0,1-8 0,0-4 0,0-1 0,-1 0 0,-1 1 0,-1-31 0,-1 43 0,0 0 0,-1 0 0,0-1 0,0 1 0,0 0 0,-1 1 0,0-1 0,0 0 0,0 0 0,-1 1 0,0-1 0,0 1 0,-4-6 0,-4-2 0,-1 0 0,0 1 0,-18-13 0,-1-2 0,14 9-1365,10 10-5461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1T17:24:32.337"/>
    </inkml:context>
    <inkml:brush xml:id="br0">
      <inkml:brushProperty name="width" value="0.00882" units="cm"/>
      <inkml:brushProperty name="height" value="0.00882" units="cm"/>
      <inkml:brushProperty name="color" value="#767171"/>
    </inkml:brush>
  </inkml:definitions>
  <inkml:trace contextRef="#ctx0" brushRef="#br0">322 17 24575,'-63'-2'0,"35"0"0,-1 2 0,0 0 0,-34 7 0,57-6 0,0 1 0,1 0 0,-1 0 0,1 0 0,-1 1 0,1-1 0,0 2 0,0-1 0,0 0 0,1 1 0,-1 0 0,1 0 0,0 0 0,0 1 0,0-1 0,1 1 0,-1 0 0,1 0 0,0 0 0,1 0 0,-1 1 0,1-1 0,0 1 0,1-1 0,-1 1 0,1 0 0,-1 9 0,1-7 0,0 1 0,1-1 0,0 1 0,0-1 0,1 1 0,0-1 0,1 1 0,-1-1 0,2 0 0,-1 1 0,1-1 0,0-1 0,1 1 0,0 0 0,0-1 0,1 0 0,0 0 0,9 11 0,-4-10 0,1-1 0,0 0 0,0 0 0,1-1 0,0-1 0,0 0 0,21 6 0,-10-6 0,0-1 0,0-2 0,1 0 0,-1-1 0,40-5 0,5 2 0,-63 2 0,0 0 0,0 0 0,0 0 0,-1-1 0,1 1 0,0-1 0,0-1 0,7-2 0,-11 3 0,1 0 0,0 0 0,-1 0 0,1-1 0,-1 1 0,0-1 0,1 1 0,-1-1 0,0 0 0,0 1 0,0-1 0,0 0 0,0 0 0,0 0 0,-1 0 0,1 0 0,-1 0 0,1 0 0,-1 0 0,0 0 0,1 0 0,-1 0 0,-1-2 0,3-20 20,-2 0 0,0 0 0,-2 0 0,-1 1 0,-9-42 0,10 57-91,-1 1 1,1-1-1,-2 1 0,1-1 0,-1 1 1,0 0-1,0 0 0,-1 1 1,1-1-1,-2 1 0,1 0 0,-1 0 1,0 1-1,0-1 0,0 1 1,-1 1-1,0-1 0,0 1 0,0 1 1,-12-6-1,7 6-6755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4"/>
  <sheetViews>
    <sheetView zoomScale="120" zoomScaleNormal="120" workbookViewId="0">
      <selection activeCell="Q1" sqref="Q1"/>
    </sheetView>
  </sheetViews>
  <sheetFormatPr defaultColWidth="5.5546875" defaultRowHeight="30" customHeight="1" x14ac:dyDescent="0.3"/>
  <cols>
    <col min="1" max="8" width="5.5546875" style="1"/>
    <col min="9" max="29" width="5.5546875" style="1" customWidth="1"/>
    <col min="30" max="16384" width="5.5546875" style="1"/>
  </cols>
  <sheetData>
    <row r="1" spans="1:50" ht="30" customHeight="1" x14ac:dyDescent="0.3">
      <c r="A1" s="6" t="s">
        <v>12</v>
      </c>
      <c r="B1" s="6"/>
      <c r="C1" s="6"/>
      <c r="D1" s="6"/>
      <c r="E1" s="6"/>
      <c r="F1" s="6"/>
      <c r="G1" s="6"/>
      <c r="J1" s="6" t="s">
        <v>13</v>
      </c>
      <c r="K1" s="6"/>
      <c r="L1" s="6"/>
      <c r="M1" s="6"/>
      <c r="N1" s="6"/>
      <c r="O1" s="6"/>
      <c r="P1" s="6"/>
      <c r="Q1" s="1" cm="1">
        <f t="array" ref="Q1">MAX(IF(ISNUMBER(K3:O7)*$B$3:$F$7, ISNUMBER(K3:O7)*$B$3:$F$7, " "))</f>
        <v>9</v>
      </c>
      <c r="R1" s="1">
        <f>COUNT(K3:O7)</f>
        <v>7</v>
      </c>
      <c r="T1" s="6" t="s">
        <v>14</v>
      </c>
      <c r="U1" s="6"/>
      <c r="V1" s="6"/>
      <c r="W1" s="6"/>
      <c r="X1" s="6"/>
      <c r="Y1" s="6"/>
      <c r="Z1" s="6"/>
      <c r="AA1" s="1" cm="1">
        <f t="array" ref="AA1">MAX(IF(ISNUMBER(U3:Y7)*$B$3:$F$7, ISNUMBER(U3:Y7)*$B$3:$F$7, " "))</f>
        <v>8</v>
      </c>
      <c r="AB1" s="1">
        <f>COUNT(U3:Y7)</f>
        <v>7</v>
      </c>
      <c r="AD1" s="6" t="s">
        <v>15</v>
      </c>
      <c r="AE1" s="6"/>
      <c r="AF1" s="6"/>
      <c r="AG1" s="6"/>
      <c r="AH1" s="6"/>
      <c r="AI1" s="6"/>
      <c r="AJ1" s="6"/>
      <c r="AK1" s="1" cm="1">
        <f t="array" ref="AK1">MAX(IF(ISNUMBER(AE3:AI7)*$B$3:$F$7, ISNUMBER(AE3:AI7)*$B$3:$F$7, " "))</f>
        <v>8</v>
      </c>
      <c r="AL1" s="1">
        <f>COUNT(AE3:AI7)</f>
        <v>9</v>
      </c>
    </row>
    <row r="2" spans="1:50" ht="30" customHeight="1" x14ac:dyDescent="0.3"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11</v>
      </c>
      <c r="K2" s="1" t="s">
        <v>5</v>
      </c>
      <c r="L2" s="1" t="s">
        <v>6</v>
      </c>
      <c r="M2" s="1" t="s">
        <v>7</v>
      </c>
      <c r="N2" s="1" t="s">
        <v>8</v>
      </c>
      <c r="O2" s="1" t="s">
        <v>9</v>
      </c>
      <c r="P2" s="1" t="s">
        <v>11</v>
      </c>
      <c r="U2" s="1" t="s">
        <v>5</v>
      </c>
      <c r="V2" s="1" t="s">
        <v>6</v>
      </c>
      <c r="W2" s="1" t="s">
        <v>7</v>
      </c>
      <c r="X2" s="1" t="s">
        <v>8</v>
      </c>
      <c r="Y2" s="1" t="s">
        <v>9</v>
      </c>
      <c r="Z2" s="1" t="s">
        <v>11</v>
      </c>
      <c r="AE2" s="1" t="s">
        <v>5</v>
      </c>
      <c r="AF2" s="1" t="s">
        <v>6</v>
      </c>
      <c r="AG2" s="1" t="s">
        <v>7</v>
      </c>
      <c r="AH2" s="1" t="s">
        <v>8</v>
      </c>
      <c r="AI2" s="1" t="s">
        <v>9</v>
      </c>
      <c r="AJ2" s="1" t="s">
        <v>11</v>
      </c>
      <c r="AS2" s="1" t="s">
        <v>16</v>
      </c>
    </row>
    <row r="3" spans="1:50" ht="30" customHeight="1" x14ac:dyDescent="0.3">
      <c r="A3" s="1" t="s">
        <v>0</v>
      </c>
      <c r="B3" s="2">
        <v>8</v>
      </c>
      <c r="C3" s="2">
        <v>8</v>
      </c>
      <c r="D3" s="2">
        <v>6</v>
      </c>
      <c r="E3" s="2">
        <v>7</v>
      </c>
      <c r="F3" s="2">
        <v>8</v>
      </c>
      <c r="G3" s="1">
        <v>300</v>
      </c>
      <c r="J3" s="1" t="s">
        <v>0</v>
      </c>
      <c r="K3" s="2">
        <v>100</v>
      </c>
      <c r="L3" s="2">
        <v>200</v>
      </c>
      <c r="M3" s="2"/>
      <c r="N3" s="2"/>
      <c r="O3" s="2"/>
      <c r="P3" s="1">
        <f>SUM(K3:O3)</f>
        <v>300</v>
      </c>
      <c r="T3" s="1" t="s">
        <v>0</v>
      </c>
      <c r="U3" s="2"/>
      <c r="V3" s="2"/>
      <c r="W3" s="2">
        <v>200</v>
      </c>
      <c r="X3" s="2">
        <v>100</v>
      </c>
      <c r="Y3" s="2"/>
      <c r="Z3" s="1">
        <f>SUM(U3:Y3)</f>
        <v>300</v>
      </c>
      <c r="AD3" s="1" t="s">
        <v>0</v>
      </c>
      <c r="AE3" s="2"/>
      <c r="AF3" s="2"/>
      <c r="AG3" s="2">
        <v>200</v>
      </c>
      <c r="AH3" s="2">
        <v>100</v>
      </c>
      <c r="AI3" s="2"/>
      <c r="AJ3" s="1">
        <f>SUM(AE3:AI3)</f>
        <v>300</v>
      </c>
      <c r="AN3" s="2"/>
      <c r="AO3" s="2"/>
      <c r="AP3" s="2"/>
      <c r="AQ3" s="2"/>
      <c r="AR3" s="2"/>
      <c r="AS3" s="1">
        <v>1</v>
      </c>
      <c r="AT3" s="1">
        <v>1</v>
      </c>
      <c r="AU3" s="1">
        <v>1</v>
      </c>
      <c r="AV3" s="1">
        <v>1</v>
      </c>
      <c r="AW3" s="1">
        <v>1</v>
      </c>
      <c r="AX3" s="1">
        <v>1</v>
      </c>
    </row>
    <row r="4" spans="1:50" ht="30" customHeight="1" x14ac:dyDescent="0.3">
      <c r="A4" s="1" t="s">
        <v>1</v>
      </c>
      <c r="B4" s="2">
        <v>6</v>
      </c>
      <c r="C4" s="2">
        <v>7</v>
      </c>
      <c r="D4" s="2">
        <v>8</v>
      </c>
      <c r="E4" s="2">
        <v>9</v>
      </c>
      <c r="F4" s="2">
        <v>8</v>
      </c>
      <c r="G4" s="1">
        <v>200</v>
      </c>
      <c r="J4" s="1" t="s">
        <v>1</v>
      </c>
      <c r="K4" s="2"/>
      <c r="L4" s="2">
        <v>200</v>
      </c>
      <c r="M4" s="2"/>
      <c r="N4" s="2"/>
      <c r="O4" s="2"/>
      <c r="P4" s="1">
        <f t="shared" ref="P4:P7" si="0">SUM(K4:O4)</f>
        <v>200</v>
      </c>
      <c r="T4" s="1" t="s">
        <v>1</v>
      </c>
      <c r="U4" s="2">
        <v>100</v>
      </c>
      <c r="V4" s="2"/>
      <c r="W4" s="2"/>
      <c r="X4" s="2"/>
      <c r="Y4" s="2">
        <v>100</v>
      </c>
      <c r="Z4" s="1">
        <f t="shared" ref="Z4:Z7" si="1">SUM(U4:Y4)</f>
        <v>200</v>
      </c>
      <c r="AD4" s="1" t="s">
        <v>1</v>
      </c>
      <c r="AE4" s="2">
        <v>100</v>
      </c>
      <c r="AF4" s="2">
        <v>100</v>
      </c>
      <c r="AG4" s="2"/>
      <c r="AH4" s="2"/>
      <c r="AI4" s="2"/>
      <c r="AJ4" s="1">
        <f t="shared" ref="AJ4:AJ7" si="2">SUM(AE4:AI4)</f>
        <v>200</v>
      </c>
      <c r="AN4" s="2"/>
      <c r="AO4" s="2"/>
      <c r="AP4" s="2"/>
      <c r="AQ4" s="2"/>
      <c r="AR4" s="2"/>
      <c r="AS4" s="1">
        <v>1</v>
      </c>
      <c r="AT4" s="1">
        <v>1</v>
      </c>
      <c r="AU4" s="1">
        <v>1</v>
      </c>
      <c r="AV4" s="1">
        <v>1</v>
      </c>
      <c r="AW4" s="1">
        <v>1</v>
      </c>
    </row>
    <row r="5" spans="1:50" ht="30" customHeight="1" x14ac:dyDescent="0.3">
      <c r="A5" s="1" t="s">
        <v>2</v>
      </c>
      <c r="B5" s="2">
        <v>7</v>
      </c>
      <c r="C5" s="2">
        <v>8</v>
      </c>
      <c r="D5" s="2">
        <v>9</v>
      </c>
      <c r="E5" s="2">
        <v>9</v>
      </c>
      <c r="F5" s="2">
        <v>6</v>
      </c>
      <c r="G5" s="1">
        <v>200</v>
      </c>
      <c r="J5" s="1" t="s">
        <v>2</v>
      </c>
      <c r="K5" s="2"/>
      <c r="L5" s="2"/>
      <c r="M5" s="2">
        <v>200</v>
      </c>
      <c r="N5" s="2"/>
      <c r="O5" s="2"/>
      <c r="P5" s="1">
        <f t="shared" si="0"/>
        <v>200</v>
      </c>
      <c r="T5" s="1" t="s">
        <v>2</v>
      </c>
      <c r="U5" s="2"/>
      <c r="V5" s="2"/>
      <c r="W5" s="2"/>
      <c r="X5" s="2"/>
      <c r="Y5" s="2">
        <v>200</v>
      </c>
      <c r="Z5" s="1">
        <f t="shared" si="1"/>
        <v>200</v>
      </c>
      <c r="AD5" s="1" t="s">
        <v>2</v>
      </c>
      <c r="AE5" s="2"/>
      <c r="AF5" s="2"/>
      <c r="AG5" s="2"/>
      <c r="AH5" s="2"/>
      <c r="AI5" s="2">
        <v>200</v>
      </c>
      <c r="AJ5" s="1">
        <f t="shared" si="2"/>
        <v>200</v>
      </c>
      <c r="AN5" s="2"/>
      <c r="AO5" s="2"/>
      <c r="AP5" s="2"/>
      <c r="AQ5" s="2"/>
      <c r="AR5" s="2"/>
      <c r="AS5" s="1">
        <v>1</v>
      </c>
      <c r="AT5" s="1">
        <v>1</v>
      </c>
    </row>
    <row r="6" spans="1:50" ht="30" customHeight="1" x14ac:dyDescent="0.3">
      <c r="A6" s="1" t="s">
        <v>3</v>
      </c>
      <c r="B6" s="2">
        <v>7</v>
      </c>
      <c r="C6" s="2">
        <v>7</v>
      </c>
      <c r="D6" s="2">
        <v>8</v>
      </c>
      <c r="E6" s="2">
        <v>8</v>
      </c>
      <c r="F6" s="2">
        <v>8</v>
      </c>
      <c r="G6" s="1">
        <v>200</v>
      </c>
      <c r="J6" s="1" t="s">
        <v>3</v>
      </c>
      <c r="K6" s="2"/>
      <c r="L6" s="2"/>
      <c r="M6" s="2"/>
      <c r="N6" s="2">
        <v>200</v>
      </c>
      <c r="O6" s="2"/>
      <c r="P6" s="1">
        <f t="shared" si="0"/>
        <v>200</v>
      </c>
      <c r="T6" s="1" t="s">
        <v>3</v>
      </c>
      <c r="U6" s="2"/>
      <c r="V6" s="2"/>
      <c r="W6" s="2"/>
      <c r="X6" s="2">
        <v>200</v>
      </c>
      <c r="Y6" s="2"/>
      <c r="Z6" s="1">
        <f t="shared" si="1"/>
        <v>200</v>
      </c>
      <c r="AD6" s="1" t="s">
        <v>3</v>
      </c>
      <c r="AE6" s="2"/>
      <c r="AF6" s="2">
        <v>200</v>
      </c>
      <c r="AG6" s="2"/>
      <c r="AH6" s="2"/>
      <c r="AI6" s="2"/>
      <c r="AJ6" s="1">
        <f t="shared" si="2"/>
        <v>200</v>
      </c>
      <c r="AN6" s="2"/>
      <c r="AO6" s="2"/>
      <c r="AP6" s="2"/>
      <c r="AQ6" s="2"/>
      <c r="AR6" s="2"/>
      <c r="AS6" s="1">
        <v>0</v>
      </c>
      <c r="AT6" s="1">
        <v>0</v>
      </c>
      <c r="AU6" s="1">
        <v>0</v>
      </c>
      <c r="AV6" s="1">
        <v>1</v>
      </c>
    </row>
    <row r="7" spans="1:50" ht="30" customHeight="1" x14ac:dyDescent="0.3">
      <c r="A7" s="1" t="s">
        <v>4</v>
      </c>
      <c r="B7" s="2">
        <v>7</v>
      </c>
      <c r="C7" s="2">
        <v>7</v>
      </c>
      <c r="D7" s="2">
        <v>8</v>
      </c>
      <c r="E7" s="2">
        <v>7</v>
      </c>
      <c r="F7" s="2">
        <v>8</v>
      </c>
      <c r="G7" s="1">
        <v>400</v>
      </c>
      <c r="J7" s="1" t="s">
        <v>4</v>
      </c>
      <c r="K7" s="2"/>
      <c r="L7" s="2"/>
      <c r="M7" s="2"/>
      <c r="N7" s="2">
        <v>100</v>
      </c>
      <c r="O7" s="2">
        <v>300</v>
      </c>
      <c r="P7" s="1">
        <f t="shared" si="0"/>
        <v>400</v>
      </c>
      <c r="T7" s="1" t="s">
        <v>4</v>
      </c>
      <c r="U7" s="2"/>
      <c r="V7" s="2">
        <v>400</v>
      </c>
      <c r="W7" s="2"/>
      <c r="X7" s="2"/>
      <c r="Y7" s="2"/>
      <c r="Z7" s="1">
        <f t="shared" si="1"/>
        <v>400</v>
      </c>
      <c r="AD7" s="1" t="s">
        <v>4</v>
      </c>
      <c r="AE7" s="2"/>
      <c r="AF7" s="2">
        <v>100</v>
      </c>
      <c r="AG7" s="2"/>
      <c r="AH7" s="2">
        <v>200</v>
      </c>
      <c r="AI7" s="2">
        <v>100</v>
      </c>
      <c r="AJ7" s="1">
        <f t="shared" si="2"/>
        <v>400</v>
      </c>
      <c r="AN7" s="2"/>
      <c r="AO7" s="2">
        <v>7</v>
      </c>
      <c r="AP7" s="2"/>
      <c r="AQ7" s="2">
        <v>7</v>
      </c>
      <c r="AR7" s="2">
        <v>8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</row>
    <row r="8" spans="1:50" ht="30" customHeight="1" x14ac:dyDescent="0.3">
      <c r="A8" s="1" t="s">
        <v>10</v>
      </c>
      <c r="B8" s="1">
        <v>100</v>
      </c>
      <c r="C8" s="1">
        <v>400</v>
      </c>
      <c r="D8" s="1">
        <v>200</v>
      </c>
      <c r="E8" s="1">
        <v>300</v>
      </c>
      <c r="F8" s="1">
        <v>300</v>
      </c>
      <c r="J8" s="1" t="s">
        <v>10</v>
      </c>
      <c r="K8" s="1">
        <f>SUM(K3:K7)</f>
        <v>100</v>
      </c>
      <c r="L8" s="1">
        <f t="shared" ref="L8:O8" si="3">SUM(L3:L7)</f>
        <v>400</v>
      </c>
      <c r="M8" s="1">
        <f t="shared" si="3"/>
        <v>200</v>
      </c>
      <c r="N8" s="1">
        <f t="shared" si="3"/>
        <v>300</v>
      </c>
      <c r="O8" s="1">
        <f t="shared" si="3"/>
        <v>300</v>
      </c>
      <c r="T8" s="1" t="s">
        <v>10</v>
      </c>
      <c r="U8" s="1">
        <f>SUM(U3:U7)</f>
        <v>100</v>
      </c>
      <c r="V8" s="1">
        <f t="shared" ref="V8" si="4">SUM(V3:V7)</f>
        <v>400</v>
      </c>
      <c r="W8" s="1">
        <f t="shared" ref="W8" si="5">SUM(W3:W7)</f>
        <v>200</v>
      </c>
      <c r="X8" s="1">
        <f t="shared" ref="X8" si="6">SUM(X3:X7)</f>
        <v>300</v>
      </c>
      <c r="Y8" s="1">
        <f t="shared" ref="Y8" si="7">SUM(Y3:Y7)</f>
        <v>300</v>
      </c>
      <c r="AD8" s="1" t="s">
        <v>10</v>
      </c>
      <c r="AE8" s="1">
        <f>SUM(AE3:AE7)</f>
        <v>100</v>
      </c>
      <c r="AF8" s="1">
        <f t="shared" ref="AF8" si="8">SUM(AF3:AF7)</f>
        <v>400</v>
      </c>
      <c r="AG8" s="1">
        <f t="shared" ref="AG8" si="9">SUM(AG3:AG7)</f>
        <v>200</v>
      </c>
      <c r="AH8" s="1">
        <f t="shared" ref="AH8" si="10">SUM(AH3:AH7)</f>
        <v>300</v>
      </c>
      <c r="AI8" s="1">
        <f t="shared" ref="AI8" si="11">SUM(AI3:AI7)</f>
        <v>300</v>
      </c>
      <c r="AM8" s="1" t="s">
        <v>16</v>
      </c>
      <c r="AN8" s="1">
        <v>1</v>
      </c>
      <c r="AO8" s="1">
        <v>0</v>
      </c>
      <c r="AP8" s="1">
        <v>2</v>
      </c>
      <c r="AQ8" s="1">
        <v>0</v>
      </c>
      <c r="AR8" s="1">
        <v>2</v>
      </c>
    </row>
    <row r="9" spans="1:50" ht="30" customHeight="1" x14ac:dyDescent="0.3">
      <c r="AN9" s="1">
        <v>1</v>
      </c>
      <c r="AO9" s="1">
        <v>0</v>
      </c>
      <c r="AQ9" s="1">
        <v>0</v>
      </c>
      <c r="AR9" s="1">
        <v>2</v>
      </c>
    </row>
    <row r="10" spans="1:50" ht="30" customHeight="1" x14ac:dyDescent="0.3">
      <c r="K10" s="2" cm="1">
        <f t="array" ref="K10:O14">IF(ISNUMBER(K3:O7)*$B$3:$F$7, ISNUMBER(K3:O7)*$B$3:$F$7, " ")</f>
        <v>8</v>
      </c>
      <c r="L10" s="2">
        <v>8</v>
      </c>
      <c r="M10" s="2" t="str">
        <v xml:space="preserve"> </v>
      </c>
      <c r="N10" s="2" t="str">
        <v xml:space="preserve"> </v>
      </c>
      <c r="O10" s="2" t="str">
        <v xml:space="preserve"> </v>
      </c>
      <c r="U10" s="2" t="str" cm="1">
        <f t="array" ref="U10:Y14">IF(ISNUMBER(U3:Y7)*$B$3:$F$7, ISNUMBER(U3:Y7)*$B$3:$F$7, " ")</f>
        <v xml:space="preserve"> </v>
      </c>
      <c r="V10" s="2" t="str">
        <v xml:space="preserve"> </v>
      </c>
      <c r="W10" s="2">
        <v>6</v>
      </c>
      <c r="X10" s="2">
        <v>7</v>
      </c>
      <c r="Y10" s="2" t="str">
        <v xml:space="preserve"> </v>
      </c>
      <c r="AE10" s="2" t="str" cm="1">
        <f t="array" ref="AE10:AI14">IF(ISNUMBER(AE3:AI7)*$B$3:$F$7, ISNUMBER(AE3:AI7)*$B$3:$F$7, " ")</f>
        <v xml:space="preserve"> </v>
      </c>
      <c r="AF10" s="2" t="str">
        <v xml:space="preserve"> </v>
      </c>
      <c r="AG10" s="2">
        <v>6</v>
      </c>
      <c r="AH10" s="2">
        <v>7</v>
      </c>
      <c r="AI10" s="2" t="str">
        <v xml:space="preserve"> </v>
      </c>
      <c r="AN10" s="1">
        <v>1</v>
      </c>
      <c r="AO10" s="1">
        <v>0</v>
      </c>
      <c r="AQ10" s="1">
        <v>0</v>
      </c>
      <c r="AR10" s="1">
        <v>0</v>
      </c>
    </row>
    <row r="11" spans="1:50" ht="30" customHeight="1" x14ac:dyDescent="0.3">
      <c r="K11" s="2" t="str">
        <v xml:space="preserve"> </v>
      </c>
      <c r="L11" s="2">
        <v>7</v>
      </c>
      <c r="M11" s="2" t="str">
        <v xml:space="preserve"> </v>
      </c>
      <c r="N11" s="2" t="str">
        <v xml:space="preserve"> </v>
      </c>
      <c r="O11" s="2" t="str">
        <v xml:space="preserve"> </v>
      </c>
      <c r="U11" s="2">
        <v>6</v>
      </c>
      <c r="V11" s="2" t="str">
        <v xml:space="preserve"> </v>
      </c>
      <c r="W11" s="2" t="str">
        <v xml:space="preserve"> </v>
      </c>
      <c r="X11" s="2" t="str">
        <v xml:space="preserve"> </v>
      </c>
      <c r="Y11" s="2">
        <v>8</v>
      </c>
      <c r="AE11" s="2">
        <v>6</v>
      </c>
      <c r="AF11" s="2">
        <v>7</v>
      </c>
      <c r="AG11" s="2" t="str">
        <v xml:space="preserve"> </v>
      </c>
      <c r="AH11" s="2" t="str">
        <v xml:space="preserve"> </v>
      </c>
      <c r="AI11" s="2" t="str">
        <v xml:space="preserve"> </v>
      </c>
      <c r="AO11" s="1">
        <v>0</v>
      </c>
      <c r="AQ11" s="1">
        <v>0</v>
      </c>
      <c r="AR11" s="1">
        <v>0</v>
      </c>
    </row>
    <row r="12" spans="1:50" ht="30" customHeight="1" x14ac:dyDescent="0.3">
      <c r="K12" s="2" t="str">
        <v xml:space="preserve"> </v>
      </c>
      <c r="L12" s="2" t="str">
        <v xml:space="preserve"> </v>
      </c>
      <c r="M12" s="2">
        <v>9</v>
      </c>
      <c r="N12" s="2" t="str">
        <v xml:space="preserve"> </v>
      </c>
      <c r="O12" s="2" t="str">
        <v xml:space="preserve"> </v>
      </c>
      <c r="U12" s="2" t="str">
        <v xml:space="preserve"> </v>
      </c>
      <c r="V12" s="2" t="str">
        <v xml:space="preserve"> </v>
      </c>
      <c r="W12" s="2" t="str">
        <v xml:space="preserve"> </v>
      </c>
      <c r="X12" s="2" t="str">
        <v xml:space="preserve"> </v>
      </c>
      <c r="Y12" s="2">
        <v>6</v>
      </c>
      <c r="AE12" s="2" t="str">
        <v xml:space="preserve"> </v>
      </c>
      <c r="AF12" s="2" t="str">
        <v xml:space="preserve"> </v>
      </c>
      <c r="AG12" s="2" t="str">
        <v xml:space="preserve"> </v>
      </c>
      <c r="AH12" s="2" t="str">
        <v xml:space="preserve"> </v>
      </c>
      <c r="AI12" s="2">
        <v>6</v>
      </c>
      <c r="AO12" s="1">
        <v>0</v>
      </c>
      <c r="AQ12" s="1">
        <v>0</v>
      </c>
      <c r="AR12" s="1">
        <v>0</v>
      </c>
    </row>
    <row r="13" spans="1:50" ht="30" customHeight="1" x14ac:dyDescent="0.3">
      <c r="K13" s="2" t="str">
        <v xml:space="preserve"> </v>
      </c>
      <c r="L13" s="2" t="str">
        <v xml:space="preserve"> </v>
      </c>
      <c r="M13" s="2" t="str">
        <v xml:space="preserve"> </v>
      </c>
      <c r="N13" s="2">
        <v>8</v>
      </c>
      <c r="O13" s="2" t="str">
        <v xml:space="preserve"> </v>
      </c>
      <c r="U13" s="2" t="str">
        <v xml:space="preserve"> </v>
      </c>
      <c r="V13" s="2" t="str">
        <v xml:space="preserve"> </v>
      </c>
      <c r="W13" s="2" t="str">
        <v xml:space="preserve"> </v>
      </c>
      <c r="X13" s="2">
        <v>8</v>
      </c>
      <c r="Y13" s="2" t="str">
        <v xml:space="preserve"> </v>
      </c>
      <c r="AE13" s="2" t="str">
        <v xml:space="preserve"> </v>
      </c>
      <c r="AF13" s="2">
        <v>7</v>
      </c>
      <c r="AG13" s="2" t="str">
        <v xml:space="preserve"> </v>
      </c>
      <c r="AH13" s="2" t="str">
        <v xml:space="preserve"> </v>
      </c>
      <c r="AI13" s="2" t="str">
        <v xml:space="preserve"> </v>
      </c>
      <c r="AO13" s="1">
        <v>1</v>
      </c>
      <c r="AQ13" s="1">
        <v>0</v>
      </c>
      <c r="AR13" s="1">
        <v>0</v>
      </c>
    </row>
    <row r="14" spans="1:50" ht="30" customHeight="1" x14ac:dyDescent="0.3">
      <c r="K14" s="2" t="str">
        <v xml:space="preserve"> </v>
      </c>
      <c r="L14" s="2" t="str">
        <v xml:space="preserve"> </v>
      </c>
      <c r="M14" s="2" t="str">
        <v xml:space="preserve"> </v>
      </c>
      <c r="N14" s="2">
        <v>7</v>
      </c>
      <c r="O14" s="2">
        <v>8</v>
      </c>
      <c r="U14" s="2" t="str">
        <v xml:space="preserve"> </v>
      </c>
      <c r="V14" s="2">
        <v>7</v>
      </c>
      <c r="W14" s="2" t="str">
        <v xml:space="preserve"> </v>
      </c>
      <c r="X14" s="2" t="str">
        <v xml:space="preserve"> </v>
      </c>
      <c r="Y14" s="2" t="str">
        <v xml:space="preserve"> </v>
      </c>
      <c r="AE14" s="2" t="str">
        <v xml:space="preserve"> </v>
      </c>
      <c r="AF14" s="2">
        <v>7</v>
      </c>
      <c r="AG14" s="2" t="str">
        <v xml:space="preserve"> </v>
      </c>
      <c r="AH14" s="2">
        <v>7</v>
      </c>
      <c r="AI14" s="2">
        <v>8</v>
      </c>
    </row>
  </sheetData>
  <mergeCells count="4">
    <mergeCell ref="A1:G1"/>
    <mergeCell ref="J1:P1"/>
    <mergeCell ref="T1:Z1"/>
    <mergeCell ref="AD1:AJ1"/>
  </mergeCells>
  <phoneticPr fontId="3" type="noConversion"/>
  <conditionalFormatting sqref="B3:F7">
    <cfRule type="colorScale" priority="20">
      <colorScale>
        <cfvo type="min"/>
        <cfvo type="max"/>
        <color theme="4" tint="0.79998168889431442"/>
        <color theme="5" tint="0.79998168889431442"/>
      </colorScale>
    </cfRule>
  </conditionalFormatting>
  <conditionalFormatting sqref="K3:O7">
    <cfRule type="colorScale" priority="19">
      <colorScale>
        <cfvo type="min"/>
        <cfvo type="max"/>
        <color theme="4" tint="0.79998168889431442"/>
        <color theme="5" tint="0.79998168889431442"/>
      </colorScale>
    </cfRule>
  </conditionalFormatting>
  <conditionalFormatting sqref="K8:O8">
    <cfRule type="expression" dxfId="57" priority="18">
      <formula>K8=B8</formula>
    </cfRule>
  </conditionalFormatting>
  <conditionalFormatting sqref="P3:P7">
    <cfRule type="expression" dxfId="56" priority="17">
      <formula>P3=G3</formula>
    </cfRule>
  </conditionalFormatting>
  <conditionalFormatting sqref="U8:Y8">
    <cfRule type="expression" dxfId="55" priority="12">
      <formula>U8=B8</formula>
    </cfRule>
  </conditionalFormatting>
  <conditionalFormatting sqref="Z3:Z7">
    <cfRule type="expression" dxfId="54" priority="11">
      <formula>Z3=G3</formula>
    </cfRule>
  </conditionalFormatting>
  <conditionalFormatting sqref="U3:Y7">
    <cfRule type="colorScale" priority="10">
      <colorScale>
        <cfvo type="min"/>
        <cfvo type="max"/>
        <color theme="4" tint="0.79998168889431442"/>
        <color theme="5" tint="0.79998168889431442"/>
      </colorScale>
    </cfRule>
  </conditionalFormatting>
  <conditionalFormatting sqref="AE8:AI8">
    <cfRule type="expression" dxfId="53" priority="9">
      <formula>AE8=B8</formula>
    </cfRule>
  </conditionalFormatting>
  <conditionalFormatting sqref="AJ3:AJ7">
    <cfRule type="expression" dxfId="52" priority="8">
      <formula>AJ3=G3</formula>
    </cfRule>
  </conditionalFormatting>
  <conditionalFormatting sqref="AE3:AI7">
    <cfRule type="colorScale" priority="7">
      <colorScale>
        <cfvo type="min"/>
        <cfvo type="max"/>
        <color theme="4" tint="0.79998168889431442"/>
        <color theme="5" tint="0.79998168889431442"/>
      </colorScale>
    </cfRule>
  </conditionalFormatting>
  <conditionalFormatting sqref="AN3:AR7">
    <cfRule type="colorScale" priority="6">
      <colorScale>
        <cfvo type="min"/>
        <cfvo type="max"/>
        <color theme="4" tint="0.79998168889431442"/>
        <color theme="5" tint="0.79998168889431442"/>
      </colorScale>
    </cfRule>
  </conditionalFormatting>
  <conditionalFormatting sqref="K10:O14">
    <cfRule type="colorScale" priority="5">
      <colorScale>
        <cfvo type="min"/>
        <cfvo type="max"/>
        <color theme="4" tint="0.79998168889431442"/>
        <color theme="5" tint="0.79998168889431442"/>
      </colorScale>
    </cfRule>
  </conditionalFormatting>
  <conditionalFormatting sqref="U10:Y14">
    <cfRule type="colorScale" priority="2">
      <colorScale>
        <cfvo type="min"/>
        <cfvo type="max"/>
        <color theme="4" tint="0.79998168889431442"/>
        <color theme="5" tint="0.79998168889431442"/>
      </colorScale>
    </cfRule>
  </conditionalFormatting>
  <conditionalFormatting sqref="AE10:AI14">
    <cfRule type="colorScale" priority="1">
      <colorScale>
        <cfvo type="min"/>
        <cfvo type="max"/>
        <color theme="4" tint="0.79998168889431442"/>
        <color theme="5" tint="0.79998168889431442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88FA2-4F07-461F-988A-371353D1B2CE}">
  <dimension ref="A1:AA62"/>
  <sheetViews>
    <sheetView topLeftCell="A56" zoomScale="120" zoomScaleNormal="120" workbookViewId="0">
      <selection activeCell="G65" sqref="G65"/>
    </sheetView>
  </sheetViews>
  <sheetFormatPr defaultColWidth="5.5546875" defaultRowHeight="30" customHeight="1" x14ac:dyDescent="0.3"/>
  <cols>
    <col min="1" max="8" width="5.5546875" style="1"/>
    <col min="9" max="9" width="5.5546875" style="1" customWidth="1"/>
    <col min="10" max="16384" width="5.5546875" style="1"/>
  </cols>
  <sheetData>
    <row r="1" spans="1:27" ht="30" customHeight="1" x14ac:dyDescent="0.3">
      <c r="A1" s="6" t="s">
        <v>12</v>
      </c>
      <c r="B1" s="6"/>
      <c r="C1" s="6"/>
      <c r="D1" s="6"/>
      <c r="E1" s="6"/>
      <c r="F1" s="6"/>
      <c r="G1" s="6"/>
      <c r="J1" s="6" t="s">
        <v>19</v>
      </c>
      <c r="K1" s="6"/>
      <c r="L1" s="6"/>
      <c r="M1" s="6"/>
      <c r="N1" s="6"/>
      <c r="O1" s="6"/>
      <c r="P1" s="6"/>
      <c r="Q1" s="1" cm="1">
        <f t="array" ref="Q1">MAX(IF(ISNUMBER(K3:O7)*$B$3:$F$7, ISNUMBER(K3:O7)*$B$3:$F$7, " "))</f>
        <v>9</v>
      </c>
      <c r="R1" s="1">
        <f>COUNT(K3:O7)</f>
        <v>7</v>
      </c>
    </row>
    <row r="2" spans="1:27" ht="30" customHeight="1" x14ac:dyDescent="0.3"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11</v>
      </c>
      <c r="K2" s="1" t="s">
        <v>5</v>
      </c>
      <c r="L2" s="1" t="s">
        <v>6</v>
      </c>
      <c r="M2" s="1" t="s">
        <v>7</v>
      </c>
      <c r="N2" s="1" t="s">
        <v>8</v>
      </c>
      <c r="O2" s="1" t="s">
        <v>9</v>
      </c>
      <c r="P2" s="1" t="s">
        <v>11</v>
      </c>
    </row>
    <row r="3" spans="1:27" ht="30" customHeight="1" x14ac:dyDescent="0.3">
      <c r="A3" s="1" t="s">
        <v>0</v>
      </c>
      <c r="B3" s="2">
        <v>8</v>
      </c>
      <c r="C3" s="2">
        <v>8</v>
      </c>
      <c r="D3" s="2">
        <v>6</v>
      </c>
      <c r="E3" s="2">
        <v>7</v>
      </c>
      <c r="F3" s="2">
        <v>8</v>
      </c>
      <c r="G3" s="1">
        <v>300</v>
      </c>
      <c r="J3" s="1" t="s">
        <v>0</v>
      </c>
      <c r="K3" s="2">
        <v>100</v>
      </c>
      <c r="L3" s="2">
        <v>200</v>
      </c>
      <c r="M3" s="2"/>
      <c r="N3" s="2"/>
      <c r="O3" s="2"/>
      <c r="P3" s="1">
        <f>SUM(K3:O3)</f>
        <v>300</v>
      </c>
    </row>
    <row r="4" spans="1:27" ht="30" customHeight="1" x14ac:dyDescent="0.3">
      <c r="A4" s="1" t="s">
        <v>1</v>
      </c>
      <c r="B4" s="2">
        <v>6</v>
      </c>
      <c r="C4" s="2">
        <v>7</v>
      </c>
      <c r="D4" s="2">
        <v>8</v>
      </c>
      <c r="E4" s="2">
        <v>9</v>
      </c>
      <c r="F4" s="2">
        <v>8</v>
      </c>
      <c r="G4" s="1">
        <v>200</v>
      </c>
      <c r="J4" s="1" t="s">
        <v>1</v>
      </c>
      <c r="K4" s="2"/>
      <c r="L4" s="2">
        <v>200</v>
      </c>
      <c r="M4" s="2"/>
      <c r="N4" s="2"/>
      <c r="O4" s="2"/>
      <c r="P4" s="1">
        <f t="shared" ref="P4:P7" si="0">SUM(K4:O4)</f>
        <v>200</v>
      </c>
    </row>
    <row r="5" spans="1:27" ht="30" customHeight="1" x14ac:dyDescent="0.3">
      <c r="A5" s="1" t="s">
        <v>2</v>
      </c>
      <c r="B5" s="2">
        <v>7</v>
      </c>
      <c r="C5" s="2">
        <v>8</v>
      </c>
      <c r="D5" s="2">
        <v>9</v>
      </c>
      <c r="E5" s="2">
        <v>9</v>
      </c>
      <c r="F5" s="2">
        <v>6</v>
      </c>
      <c r="G5" s="1">
        <v>200</v>
      </c>
      <c r="J5" s="1" t="s">
        <v>2</v>
      </c>
      <c r="K5" s="2"/>
      <c r="L5" s="2"/>
      <c r="M5" s="2">
        <v>200</v>
      </c>
      <c r="N5" s="2"/>
      <c r="O5" s="2"/>
      <c r="P5" s="1">
        <f t="shared" si="0"/>
        <v>200</v>
      </c>
    </row>
    <row r="6" spans="1:27" ht="30" customHeight="1" x14ac:dyDescent="0.3">
      <c r="A6" s="1" t="s">
        <v>3</v>
      </c>
      <c r="B6" s="2">
        <v>7</v>
      </c>
      <c r="C6" s="2">
        <v>7</v>
      </c>
      <c r="D6" s="2">
        <v>8</v>
      </c>
      <c r="E6" s="2">
        <v>8</v>
      </c>
      <c r="F6" s="2">
        <v>8</v>
      </c>
      <c r="G6" s="1">
        <v>200</v>
      </c>
      <c r="J6" s="1" t="s">
        <v>3</v>
      </c>
      <c r="K6" s="2"/>
      <c r="L6" s="2"/>
      <c r="M6" s="2"/>
      <c r="N6" s="2">
        <v>200</v>
      </c>
      <c r="O6" s="2"/>
      <c r="P6" s="1">
        <f t="shared" si="0"/>
        <v>200</v>
      </c>
    </row>
    <row r="7" spans="1:27" ht="30" customHeight="1" x14ac:dyDescent="0.3">
      <c r="A7" s="1" t="s">
        <v>4</v>
      </c>
      <c r="B7" s="2">
        <v>7</v>
      </c>
      <c r="C7" s="2">
        <v>7</v>
      </c>
      <c r="D7" s="2">
        <v>8</v>
      </c>
      <c r="E7" s="2">
        <v>7</v>
      </c>
      <c r="F7" s="2">
        <v>8</v>
      </c>
      <c r="G7" s="1">
        <v>400</v>
      </c>
      <c r="J7" s="1" t="s">
        <v>4</v>
      </c>
      <c r="K7" s="2"/>
      <c r="L7" s="2"/>
      <c r="M7" s="2"/>
      <c r="N7" s="2">
        <v>100</v>
      </c>
      <c r="O7" s="2">
        <v>300</v>
      </c>
      <c r="P7" s="1">
        <f t="shared" si="0"/>
        <v>400</v>
      </c>
    </row>
    <row r="8" spans="1:27" ht="30" customHeight="1" x14ac:dyDescent="0.3">
      <c r="A8" s="1" t="s">
        <v>10</v>
      </c>
      <c r="B8" s="1">
        <v>100</v>
      </c>
      <c r="C8" s="1">
        <v>400</v>
      </c>
      <c r="D8" s="1">
        <v>200</v>
      </c>
      <c r="E8" s="1">
        <v>300</v>
      </c>
      <c r="F8" s="1">
        <v>300</v>
      </c>
      <c r="J8" s="1" t="s">
        <v>10</v>
      </c>
      <c r="K8" s="1">
        <f>SUM(K3:K7)</f>
        <v>100</v>
      </c>
      <c r="L8" s="1">
        <f t="shared" ref="L8:O8" si="1">SUM(L3:L7)</f>
        <v>400</v>
      </c>
      <c r="M8" s="1">
        <f t="shared" si="1"/>
        <v>200</v>
      </c>
      <c r="N8" s="1">
        <f t="shared" si="1"/>
        <v>300</v>
      </c>
      <c r="O8" s="1">
        <f t="shared" si="1"/>
        <v>300</v>
      </c>
    </row>
    <row r="10" spans="1:27" ht="30" customHeight="1" x14ac:dyDescent="0.3">
      <c r="A10" s="6" t="s">
        <v>20</v>
      </c>
      <c r="B10" s="6"/>
      <c r="C10" s="6"/>
      <c r="D10" s="6"/>
      <c r="E10" s="6"/>
      <c r="F10" s="6"/>
      <c r="G10" s="6"/>
      <c r="J10" s="6" t="s">
        <v>20</v>
      </c>
      <c r="K10" s="6"/>
      <c r="L10" s="6"/>
      <c r="M10" s="6"/>
      <c r="N10" s="6"/>
      <c r="O10" s="6"/>
      <c r="P10" s="6"/>
      <c r="Q10" s="1" cm="1">
        <f t="array" ref="Q10">MAX(IF(ISNUMBER(K12:O16)*$B$3:$F$7, ISNUMBER(K12:O16)*$B$3:$F$7, " "))</f>
        <v>9</v>
      </c>
      <c r="S10" s="8"/>
      <c r="T10" s="6" t="s">
        <v>17</v>
      </c>
      <c r="U10" s="6"/>
      <c r="V10" s="6"/>
      <c r="W10" s="6"/>
      <c r="X10" s="6"/>
      <c r="Y10" s="6"/>
      <c r="Z10" s="6"/>
      <c r="AA10" s="1" cm="1">
        <f t="array" ref="AA10">MAX(IF(ISNUMBER(U12:Y16)*$B$3:$F$7, ISNUMBER(U12:Y16)*$B$3:$F$7, " "))</f>
        <v>9</v>
      </c>
    </row>
    <row r="11" spans="1:27" ht="30" customHeight="1" x14ac:dyDescent="0.3">
      <c r="B11" s="1" t="s">
        <v>5</v>
      </c>
      <c r="C11" s="1" t="s">
        <v>6</v>
      </c>
      <c r="D11" s="1" t="s">
        <v>7</v>
      </c>
      <c r="E11" s="1" t="s">
        <v>8</v>
      </c>
      <c r="F11" s="1" t="s">
        <v>9</v>
      </c>
      <c r="K11" s="1" t="s">
        <v>5</v>
      </c>
      <c r="L11" s="1" t="s">
        <v>6</v>
      </c>
      <c r="M11" s="1" t="s">
        <v>7</v>
      </c>
      <c r="N11" s="1" t="s">
        <v>8</v>
      </c>
      <c r="O11" s="1" t="s">
        <v>9</v>
      </c>
      <c r="P11" s="1" t="s">
        <v>11</v>
      </c>
      <c r="U11" s="1" t="s">
        <v>5</v>
      </c>
      <c r="V11" s="1" t="s">
        <v>6</v>
      </c>
      <c r="W11" s="1" t="s">
        <v>7</v>
      </c>
      <c r="X11" s="1" t="s">
        <v>8</v>
      </c>
      <c r="Y11" s="1" t="s">
        <v>9</v>
      </c>
      <c r="Z11" s="1" t="s">
        <v>11</v>
      </c>
    </row>
    <row r="12" spans="1:27" ht="30" customHeight="1" x14ac:dyDescent="0.3">
      <c r="A12" s="1" t="s">
        <v>0</v>
      </c>
      <c r="B12" s="3">
        <v>8</v>
      </c>
      <c r="C12" s="3">
        <v>8</v>
      </c>
      <c r="D12" s="2">
        <v>6</v>
      </c>
      <c r="E12" s="2">
        <v>7</v>
      </c>
      <c r="F12" s="2">
        <v>8</v>
      </c>
      <c r="J12" s="1" t="s">
        <v>0</v>
      </c>
      <c r="K12" s="5">
        <v>100</v>
      </c>
      <c r="L12" s="9">
        <v>200</v>
      </c>
      <c r="M12" s="4"/>
      <c r="N12" s="9"/>
      <c r="O12" s="9"/>
      <c r="P12" s="1">
        <f>SUM(K12:O12)</f>
        <v>300</v>
      </c>
      <c r="T12" s="1" t="s">
        <v>0</v>
      </c>
      <c r="U12" s="2"/>
      <c r="V12" s="2">
        <v>200</v>
      </c>
      <c r="W12" s="2">
        <v>100</v>
      </c>
      <c r="X12" s="2"/>
      <c r="Y12" s="2"/>
      <c r="Z12" s="1">
        <f>SUM(U12:Y12)</f>
        <v>300</v>
      </c>
    </row>
    <row r="13" spans="1:27" ht="30" customHeight="1" x14ac:dyDescent="0.3">
      <c r="A13" s="1" t="s">
        <v>1</v>
      </c>
      <c r="B13" s="2">
        <v>6</v>
      </c>
      <c r="C13" s="3">
        <v>7</v>
      </c>
      <c r="D13" s="2">
        <v>8</v>
      </c>
      <c r="E13" s="2">
        <v>9</v>
      </c>
      <c r="F13" s="2">
        <v>8</v>
      </c>
      <c r="J13" s="1" t="s">
        <v>1</v>
      </c>
      <c r="K13" s="9"/>
      <c r="L13" s="9">
        <v>200</v>
      </c>
      <c r="M13" s="9"/>
      <c r="N13" s="9"/>
      <c r="O13" s="9"/>
      <c r="P13" s="1">
        <f t="shared" ref="P13:P16" si="2">SUM(K13:O13)</f>
        <v>200</v>
      </c>
      <c r="T13" s="1" t="s">
        <v>1</v>
      </c>
      <c r="U13" s="2"/>
      <c r="V13" s="2">
        <v>200</v>
      </c>
      <c r="W13" s="2"/>
      <c r="X13" s="2"/>
      <c r="Y13" s="2"/>
      <c r="Z13" s="1">
        <f t="shared" ref="Z13:Z16" si="3">SUM(U13:Y13)</f>
        <v>200</v>
      </c>
    </row>
    <row r="14" spans="1:27" ht="30" customHeight="1" x14ac:dyDescent="0.3">
      <c r="A14" s="1" t="s">
        <v>2</v>
      </c>
      <c r="B14" s="2">
        <v>7</v>
      </c>
      <c r="C14" s="2">
        <v>8</v>
      </c>
      <c r="D14" s="3">
        <v>9</v>
      </c>
      <c r="E14" s="2">
        <v>9</v>
      </c>
      <c r="F14" s="2">
        <v>6</v>
      </c>
      <c r="J14" s="1" t="s">
        <v>2</v>
      </c>
      <c r="K14" s="4"/>
      <c r="L14" s="9"/>
      <c r="M14" s="5">
        <v>200</v>
      </c>
      <c r="N14" s="9"/>
      <c r="O14" s="9"/>
      <c r="P14" s="1">
        <f t="shared" si="2"/>
        <v>200</v>
      </c>
      <c r="T14" s="1" t="s">
        <v>2</v>
      </c>
      <c r="U14" s="2">
        <v>100</v>
      </c>
      <c r="V14" s="2"/>
      <c r="W14" s="2">
        <v>100</v>
      </c>
      <c r="X14" s="2"/>
      <c r="Y14" s="2"/>
      <c r="Z14" s="1">
        <f t="shared" si="3"/>
        <v>200</v>
      </c>
    </row>
    <row r="15" spans="1:27" ht="30" customHeight="1" x14ac:dyDescent="0.3">
      <c r="A15" s="1" t="s">
        <v>3</v>
      </c>
      <c r="B15" s="2">
        <v>7</v>
      </c>
      <c r="C15" s="2">
        <v>7</v>
      </c>
      <c r="D15" s="2">
        <v>8</v>
      </c>
      <c r="E15" s="3">
        <v>8</v>
      </c>
      <c r="F15" s="2">
        <v>8</v>
      </c>
      <c r="J15" s="1" t="s">
        <v>3</v>
      </c>
      <c r="K15" s="9"/>
      <c r="L15" s="9"/>
      <c r="M15" s="9"/>
      <c r="N15" s="9">
        <v>200</v>
      </c>
      <c r="O15" s="9"/>
      <c r="P15" s="1">
        <f t="shared" si="2"/>
        <v>200</v>
      </c>
      <c r="T15" s="1" t="s">
        <v>3</v>
      </c>
      <c r="U15" s="2"/>
      <c r="V15" s="2"/>
      <c r="W15" s="2"/>
      <c r="X15" s="2">
        <v>200</v>
      </c>
      <c r="Y15" s="2"/>
      <c r="Z15" s="1">
        <f t="shared" si="3"/>
        <v>200</v>
      </c>
    </row>
    <row r="16" spans="1:27" ht="30" customHeight="1" x14ac:dyDescent="0.3">
      <c r="A16" s="1" t="s">
        <v>4</v>
      </c>
      <c r="B16" s="2">
        <v>7</v>
      </c>
      <c r="C16" s="2">
        <v>7</v>
      </c>
      <c r="D16" s="2">
        <v>8</v>
      </c>
      <c r="E16" s="3">
        <v>7</v>
      </c>
      <c r="F16" s="3">
        <v>8</v>
      </c>
      <c r="J16" s="1" t="s">
        <v>4</v>
      </c>
      <c r="K16" s="9"/>
      <c r="L16" s="9"/>
      <c r="M16" s="9"/>
      <c r="N16" s="9">
        <v>100</v>
      </c>
      <c r="O16" s="9">
        <v>300</v>
      </c>
      <c r="P16" s="1">
        <f t="shared" si="2"/>
        <v>400</v>
      </c>
      <c r="T16" s="1" t="s">
        <v>4</v>
      </c>
      <c r="U16" s="2"/>
      <c r="V16" s="2"/>
      <c r="W16" s="2"/>
      <c r="X16" s="2">
        <v>100</v>
      </c>
      <c r="Y16" s="2">
        <v>300</v>
      </c>
      <c r="Z16" s="1">
        <f t="shared" si="3"/>
        <v>400</v>
      </c>
    </row>
    <row r="17" spans="1:27" ht="30" customHeight="1" x14ac:dyDescent="0.3">
      <c r="J17" s="1" t="s">
        <v>10</v>
      </c>
      <c r="K17" s="1">
        <f>SUM(K12:K16)</f>
        <v>100</v>
      </c>
      <c r="L17" s="1">
        <f t="shared" ref="L17:O17" si="4">SUM(L12:L16)</f>
        <v>400</v>
      </c>
      <c r="M17" s="1">
        <f t="shared" si="4"/>
        <v>200</v>
      </c>
      <c r="N17" s="1">
        <f t="shared" si="4"/>
        <v>300</v>
      </c>
      <c r="O17" s="1">
        <f t="shared" si="4"/>
        <v>300</v>
      </c>
      <c r="T17" s="1" t="s">
        <v>10</v>
      </c>
      <c r="U17" s="1">
        <f>SUM(U12:U16)</f>
        <v>100</v>
      </c>
      <c r="V17" s="1">
        <f t="shared" ref="V17:Y17" si="5">SUM(V12:V16)</f>
        <v>400</v>
      </c>
      <c r="W17" s="1">
        <f t="shared" si="5"/>
        <v>200</v>
      </c>
      <c r="X17" s="1">
        <f t="shared" si="5"/>
        <v>300</v>
      </c>
      <c r="Y17" s="1">
        <f t="shared" si="5"/>
        <v>300</v>
      </c>
    </row>
    <row r="19" spans="1:27" ht="30" customHeight="1" x14ac:dyDescent="0.3">
      <c r="A19" s="6" t="s">
        <v>20</v>
      </c>
      <c r="B19" s="6"/>
      <c r="C19" s="6"/>
      <c r="D19" s="6"/>
      <c r="E19" s="6"/>
      <c r="F19" s="6"/>
      <c r="G19" s="6"/>
      <c r="J19" s="6" t="s">
        <v>20</v>
      </c>
      <c r="K19" s="6"/>
      <c r="L19" s="6"/>
      <c r="M19" s="6"/>
      <c r="N19" s="6"/>
      <c r="O19" s="6"/>
      <c r="P19" s="6"/>
      <c r="Q19" s="1" cm="1">
        <f t="array" ref="Q19">MAX(IF(ISNUMBER(K21:O25)*$B$3:$F$7, ISNUMBER(K21:O25)*$B$3:$F$7, " "))</f>
        <v>9</v>
      </c>
      <c r="S19" s="8"/>
      <c r="T19" s="6" t="s">
        <v>17</v>
      </c>
      <c r="U19" s="6"/>
      <c r="V19" s="6"/>
      <c r="W19" s="6"/>
      <c r="X19" s="6"/>
      <c r="Y19" s="6"/>
      <c r="Z19" s="6"/>
      <c r="AA19" s="1" cm="1">
        <f t="array" ref="AA19">MAX(IF(ISNUMBER(U21:Y25)*$B$3:$F$7, ISNUMBER(U21:Y25)*$B$3:$F$7, " "))</f>
        <v>8</v>
      </c>
    </row>
    <row r="20" spans="1:27" ht="30" customHeight="1" x14ac:dyDescent="0.3">
      <c r="B20" s="1" t="s">
        <v>5</v>
      </c>
      <c r="C20" s="1" t="s">
        <v>6</v>
      </c>
      <c r="D20" s="1" t="s">
        <v>7</v>
      </c>
      <c r="E20" s="1" t="s">
        <v>8</v>
      </c>
      <c r="F20" s="1" t="s">
        <v>9</v>
      </c>
      <c r="K20" s="1" t="s">
        <v>5</v>
      </c>
      <c r="L20" s="1" t="s">
        <v>6</v>
      </c>
      <c r="M20" s="1" t="s">
        <v>7</v>
      </c>
      <c r="N20" s="1" t="s">
        <v>8</v>
      </c>
      <c r="O20" s="1" t="s">
        <v>9</v>
      </c>
      <c r="P20" s="1" t="s">
        <v>11</v>
      </c>
      <c r="U20" s="1" t="s">
        <v>5</v>
      </c>
      <c r="V20" s="1" t="s">
        <v>6</v>
      </c>
      <c r="W20" s="1" t="s">
        <v>7</v>
      </c>
      <c r="X20" s="1" t="s">
        <v>8</v>
      </c>
      <c r="Y20" s="1" t="s">
        <v>9</v>
      </c>
      <c r="Z20" s="1" t="s">
        <v>11</v>
      </c>
    </row>
    <row r="21" spans="1:27" ht="30" customHeight="1" x14ac:dyDescent="0.3">
      <c r="A21" s="1" t="s">
        <v>0</v>
      </c>
      <c r="B21" s="10">
        <v>8</v>
      </c>
      <c r="C21" s="3">
        <v>8</v>
      </c>
      <c r="D21" s="3">
        <v>6</v>
      </c>
      <c r="E21" s="2">
        <v>7</v>
      </c>
      <c r="F21" s="2">
        <v>8</v>
      </c>
      <c r="J21" s="1" t="s">
        <v>0</v>
      </c>
      <c r="K21" s="9"/>
      <c r="L21" s="5">
        <v>200</v>
      </c>
      <c r="M21" s="4">
        <v>100</v>
      </c>
      <c r="N21" s="9"/>
      <c r="O21" s="9"/>
      <c r="P21" s="1">
        <f>SUM(K21:O21)</f>
        <v>300</v>
      </c>
      <c r="T21" s="1" t="s">
        <v>0</v>
      </c>
      <c r="U21" s="2"/>
      <c r="V21" s="2">
        <v>100</v>
      </c>
      <c r="W21" s="2">
        <v>200</v>
      </c>
      <c r="X21" s="2"/>
      <c r="Y21" s="2"/>
      <c r="Z21" s="1">
        <f>SUM(U21:Y21)</f>
        <v>300</v>
      </c>
    </row>
    <row r="22" spans="1:27" ht="30" customHeight="1" x14ac:dyDescent="0.3">
      <c r="A22" s="1" t="s">
        <v>1</v>
      </c>
      <c r="B22" s="2">
        <v>6</v>
      </c>
      <c r="C22" s="3">
        <v>7</v>
      </c>
      <c r="D22" s="2">
        <v>8</v>
      </c>
      <c r="E22" s="2">
        <v>9</v>
      </c>
      <c r="F22" s="2">
        <v>8</v>
      </c>
      <c r="J22" s="1" t="s">
        <v>1</v>
      </c>
      <c r="K22" s="9"/>
      <c r="L22" s="9">
        <v>200</v>
      </c>
      <c r="M22" s="9"/>
      <c r="N22" s="9"/>
      <c r="O22" s="9"/>
      <c r="P22" s="1">
        <f t="shared" ref="P22:P25" si="6">SUM(K22:O22)</f>
        <v>200</v>
      </c>
      <c r="T22" s="1" t="s">
        <v>1</v>
      </c>
      <c r="U22" s="2"/>
      <c r="V22" s="2">
        <v>200</v>
      </c>
      <c r="W22" s="2"/>
      <c r="X22" s="2"/>
      <c r="Y22" s="2"/>
      <c r="Z22" s="1">
        <f t="shared" ref="Z22:Z25" si="7">SUM(U22:Y22)</f>
        <v>200</v>
      </c>
    </row>
    <row r="23" spans="1:27" ht="30" customHeight="1" x14ac:dyDescent="0.3">
      <c r="A23" s="1" t="s">
        <v>2</v>
      </c>
      <c r="B23" s="3">
        <v>7</v>
      </c>
      <c r="C23" s="2">
        <v>8</v>
      </c>
      <c r="D23" s="3">
        <v>9</v>
      </c>
      <c r="E23" s="2">
        <v>9</v>
      </c>
      <c r="F23" s="2">
        <v>6</v>
      </c>
      <c r="J23" s="1" t="s">
        <v>2</v>
      </c>
      <c r="K23" s="9">
        <v>100</v>
      </c>
      <c r="L23" s="9"/>
      <c r="M23" s="5">
        <v>100</v>
      </c>
      <c r="N23" s="9"/>
      <c r="O23" s="4"/>
      <c r="P23" s="1">
        <f t="shared" si="6"/>
        <v>200</v>
      </c>
      <c r="T23" s="1" t="s">
        <v>2</v>
      </c>
      <c r="U23" s="2">
        <v>100</v>
      </c>
      <c r="V23" s="2"/>
      <c r="W23" s="2"/>
      <c r="X23" s="2"/>
      <c r="Y23" s="2">
        <v>100</v>
      </c>
      <c r="Z23" s="1">
        <f t="shared" si="7"/>
        <v>200</v>
      </c>
    </row>
    <row r="24" spans="1:27" ht="30" customHeight="1" x14ac:dyDescent="0.3">
      <c r="A24" s="1" t="s">
        <v>3</v>
      </c>
      <c r="B24" s="2">
        <v>7</v>
      </c>
      <c r="C24" s="2">
        <v>7</v>
      </c>
      <c r="D24" s="2">
        <v>8</v>
      </c>
      <c r="E24" s="3">
        <v>8</v>
      </c>
      <c r="F24" s="2">
        <v>8</v>
      </c>
      <c r="J24" s="1" t="s">
        <v>3</v>
      </c>
      <c r="K24" s="9"/>
      <c r="L24" s="9"/>
      <c r="M24" s="9"/>
      <c r="N24" s="9">
        <v>200</v>
      </c>
      <c r="O24" s="9"/>
      <c r="P24" s="1">
        <f t="shared" si="6"/>
        <v>200</v>
      </c>
      <c r="T24" s="1" t="s">
        <v>3</v>
      </c>
      <c r="U24" s="2"/>
      <c r="V24" s="2"/>
      <c r="W24" s="2"/>
      <c r="X24" s="2">
        <v>200</v>
      </c>
      <c r="Y24" s="2"/>
      <c r="Z24" s="1">
        <f t="shared" si="7"/>
        <v>200</v>
      </c>
    </row>
    <row r="25" spans="1:27" ht="30" customHeight="1" x14ac:dyDescent="0.3">
      <c r="A25" s="1" t="s">
        <v>4</v>
      </c>
      <c r="B25" s="2">
        <v>7</v>
      </c>
      <c r="C25" s="2">
        <v>7</v>
      </c>
      <c r="D25" s="2">
        <v>8</v>
      </c>
      <c r="E25" s="3">
        <v>7</v>
      </c>
      <c r="F25" s="3">
        <v>8</v>
      </c>
      <c r="J25" s="1" t="s">
        <v>4</v>
      </c>
      <c r="K25" s="9"/>
      <c r="L25" s="4"/>
      <c r="M25" s="9"/>
      <c r="N25" s="9">
        <v>100</v>
      </c>
      <c r="O25" s="5">
        <v>300</v>
      </c>
      <c r="P25" s="1">
        <f t="shared" si="6"/>
        <v>400</v>
      </c>
      <c r="T25" s="1" t="s">
        <v>4</v>
      </c>
      <c r="U25" s="2"/>
      <c r="V25" s="2">
        <v>100</v>
      </c>
      <c r="W25" s="2"/>
      <c r="X25" s="2">
        <v>100</v>
      </c>
      <c r="Y25" s="2">
        <v>200</v>
      </c>
      <c r="Z25" s="1">
        <f t="shared" si="7"/>
        <v>400</v>
      </c>
    </row>
    <row r="26" spans="1:27" ht="30" customHeight="1" x14ac:dyDescent="0.3">
      <c r="J26" s="1" t="s">
        <v>10</v>
      </c>
      <c r="K26" s="1">
        <f>SUM(K21:K25)</f>
        <v>100</v>
      </c>
      <c r="L26" s="1">
        <f t="shared" ref="L26:O26" si="8">SUM(L21:L25)</f>
        <v>400</v>
      </c>
      <c r="M26" s="1">
        <f t="shared" si="8"/>
        <v>200</v>
      </c>
      <c r="N26" s="1">
        <f t="shared" si="8"/>
        <v>300</v>
      </c>
      <c r="O26" s="1">
        <f t="shared" si="8"/>
        <v>300</v>
      </c>
      <c r="T26" s="1" t="s">
        <v>10</v>
      </c>
      <c r="U26" s="1">
        <f>SUM(U21:U25)</f>
        <v>100</v>
      </c>
      <c r="V26" s="1">
        <f t="shared" ref="V26:Y26" si="9">SUM(V21:V25)</f>
        <v>400</v>
      </c>
      <c r="W26" s="1">
        <f t="shared" si="9"/>
        <v>200</v>
      </c>
      <c r="X26" s="1">
        <f t="shared" si="9"/>
        <v>300</v>
      </c>
      <c r="Y26" s="1">
        <f t="shared" si="9"/>
        <v>300</v>
      </c>
    </row>
    <row r="28" spans="1:27" ht="30" customHeight="1" x14ac:dyDescent="0.3">
      <c r="A28" s="6" t="s">
        <v>20</v>
      </c>
      <c r="B28" s="6"/>
      <c r="C28" s="6"/>
      <c r="D28" s="6"/>
      <c r="E28" s="6"/>
      <c r="F28" s="6"/>
      <c r="G28" s="6"/>
      <c r="J28" s="6" t="s">
        <v>20</v>
      </c>
      <c r="K28" s="6"/>
      <c r="L28" s="6"/>
      <c r="M28" s="6"/>
      <c r="N28" s="6"/>
      <c r="O28" s="6"/>
      <c r="P28" s="6"/>
      <c r="Q28" s="1" cm="1">
        <f t="array" ref="Q28">MAX(IF(ISNUMBER(K30:O34)*$B$3:$F$7, ISNUMBER(K30:O34)*$B$3:$F$7, " "))</f>
        <v>8</v>
      </c>
      <c r="S28" s="8"/>
      <c r="T28" s="6" t="s">
        <v>17</v>
      </c>
      <c r="U28" s="6"/>
      <c r="V28" s="6"/>
      <c r="W28" s="6"/>
      <c r="X28" s="6"/>
      <c r="Y28" s="6"/>
      <c r="Z28" s="6"/>
      <c r="AA28" s="1" cm="1">
        <f t="array" ref="AA28">MAX(IF(ISNUMBER(U30:Y34)*$B$3:$F$7, ISNUMBER(U30:Y34)*$B$3:$F$7, " "))</f>
        <v>8</v>
      </c>
    </row>
    <row r="29" spans="1:27" ht="30" customHeight="1" x14ac:dyDescent="0.3">
      <c r="B29" s="1" t="s">
        <v>5</v>
      </c>
      <c r="C29" s="1" t="s">
        <v>6</v>
      </c>
      <c r="D29" s="1" t="s">
        <v>7</v>
      </c>
      <c r="E29" s="1" t="s">
        <v>8</v>
      </c>
      <c r="F29" s="1" t="s">
        <v>9</v>
      </c>
      <c r="K29" s="1" t="s">
        <v>5</v>
      </c>
      <c r="L29" s="1" t="s">
        <v>6</v>
      </c>
      <c r="M29" s="1" t="s">
        <v>7</v>
      </c>
      <c r="N29" s="1" t="s">
        <v>8</v>
      </c>
      <c r="O29" s="1" t="s">
        <v>9</v>
      </c>
      <c r="P29" s="1" t="s">
        <v>11</v>
      </c>
      <c r="U29" s="1" t="s">
        <v>5</v>
      </c>
      <c r="V29" s="1" t="s">
        <v>6</v>
      </c>
      <c r="W29" s="1" t="s">
        <v>7</v>
      </c>
      <c r="X29" s="1" t="s">
        <v>8</v>
      </c>
      <c r="Y29" s="1" t="s">
        <v>9</v>
      </c>
      <c r="Z29" s="1" t="s">
        <v>11</v>
      </c>
    </row>
    <row r="30" spans="1:27" ht="30" customHeight="1" x14ac:dyDescent="0.3">
      <c r="A30" s="1" t="s">
        <v>0</v>
      </c>
      <c r="B30" s="10">
        <v>8</v>
      </c>
      <c r="C30" s="3">
        <v>8</v>
      </c>
      <c r="D30" s="3">
        <v>6</v>
      </c>
      <c r="E30" s="10">
        <v>7</v>
      </c>
      <c r="F30" s="10">
        <v>8</v>
      </c>
      <c r="J30" s="1" t="s">
        <v>0</v>
      </c>
      <c r="K30" s="2"/>
      <c r="L30" s="2">
        <v>100</v>
      </c>
      <c r="M30" s="2">
        <v>200</v>
      </c>
      <c r="N30" s="2"/>
      <c r="O30" s="2"/>
      <c r="P30" s="1">
        <f>SUM(K30:O30)</f>
        <v>300</v>
      </c>
      <c r="T30" s="1" t="s">
        <v>0</v>
      </c>
      <c r="U30" s="2"/>
      <c r="V30" s="2">
        <v>100</v>
      </c>
      <c r="W30" s="2">
        <v>200</v>
      </c>
      <c r="X30" s="2"/>
      <c r="Y30" s="2"/>
      <c r="Z30" s="1">
        <f>SUM(U30:Y30)</f>
        <v>300</v>
      </c>
    </row>
    <row r="31" spans="1:27" ht="30" customHeight="1" x14ac:dyDescent="0.3">
      <c r="A31" s="1" t="s">
        <v>1</v>
      </c>
      <c r="B31" s="10">
        <v>6</v>
      </c>
      <c r="C31" s="3">
        <v>7</v>
      </c>
      <c r="D31" s="10">
        <v>8</v>
      </c>
      <c r="E31" s="11">
        <v>9</v>
      </c>
      <c r="F31" s="10">
        <v>8</v>
      </c>
      <c r="J31" s="1" t="s">
        <v>1</v>
      </c>
      <c r="K31" s="2"/>
      <c r="L31" s="2">
        <v>200</v>
      </c>
      <c r="M31" s="2"/>
      <c r="N31" s="2"/>
      <c r="O31" s="2"/>
      <c r="P31" s="1">
        <f t="shared" ref="P31:P34" si="10">SUM(K31:O31)</f>
        <v>200</v>
      </c>
      <c r="T31" s="1" t="s">
        <v>1</v>
      </c>
      <c r="U31" s="2"/>
      <c r="V31" s="2">
        <v>200</v>
      </c>
      <c r="W31" s="2"/>
      <c r="X31" s="2"/>
      <c r="Y31" s="2"/>
      <c r="Z31" s="1">
        <f t="shared" ref="Z31:Z34" si="11">SUM(U31:Y31)</f>
        <v>200</v>
      </c>
    </row>
    <row r="32" spans="1:27" ht="30" customHeight="1" x14ac:dyDescent="0.3">
      <c r="A32" s="1" t="s">
        <v>2</v>
      </c>
      <c r="B32" s="3">
        <v>7</v>
      </c>
      <c r="C32" s="10">
        <v>8</v>
      </c>
      <c r="D32" s="11">
        <v>9</v>
      </c>
      <c r="E32" s="11">
        <v>9</v>
      </c>
      <c r="F32" s="3">
        <v>6</v>
      </c>
      <c r="J32" s="1" t="s">
        <v>2</v>
      </c>
      <c r="K32" s="5">
        <v>100</v>
      </c>
      <c r="L32" s="2"/>
      <c r="M32" s="2"/>
      <c r="N32" s="2"/>
      <c r="O32" s="4">
        <v>100</v>
      </c>
      <c r="P32" s="1">
        <f t="shared" si="10"/>
        <v>200</v>
      </c>
      <c r="T32" s="1" t="s">
        <v>2</v>
      </c>
      <c r="U32" s="2"/>
      <c r="V32" s="2"/>
      <c r="W32" s="2"/>
      <c r="X32" s="2"/>
      <c r="Y32" s="2">
        <v>200</v>
      </c>
      <c r="Z32" s="1">
        <f t="shared" si="11"/>
        <v>200</v>
      </c>
    </row>
    <row r="33" spans="1:27" ht="30" customHeight="1" x14ac:dyDescent="0.3">
      <c r="A33" s="1" t="s">
        <v>3</v>
      </c>
      <c r="B33" s="10">
        <v>7</v>
      </c>
      <c r="C33" s="10">
        <v>7</v>
      </c>
      <c r="D33" s="10">
        <v>8</v>
      </c>
      <c r="E33" s="3">
        <v>8</v>
      </c>
      <c r="F33" s="10">
        <v>8</v>
      </c>
      <c r="J33" s="1" t="s">
        <v>3</v>
      </c>
      <c r="K33" s="2"/>
      <c r="L33" s="2"/>
      <c r="M33" s="2"/>
      <c r="N33" s="2">
        <v>200</v>
      </c>
      <c r="O33" s="2"/>
      <c r="P33" s="1">
        <f t="shared" si="10"/>
        <v>200</v>
      </c>
      <c r="T33" s="1" t="s">
        <v>3</v>
      </c>
      <c r="U33" s="2"/>
      <c r="V33" s="2"/>
      <c r="W33" s="2"/>
      <c r="X33" s="2">
        <v>200</v>
      </c>
      <c r="Y33" s="2"/>
      <c r="Z33" s="1">
        <f t="shared" si="11"/>
        <v>200</v>
      </c>
    </row>
    <row r="34" spans="1:27" ht="30" customHeight="1" x14ac:dyDescent="0.3">
      <c r="A34" s="1" t="s">
        <v>4</v>
      </c>
      <c r="B34" s="10">
        <v>7</v>
      </c>
      <c r="C34" s="3">
        <v>7</v>
      </c>
      <c r="D34" s="10">
        <v>8</v>
      </c>
      <c r="E34" s="3">
        <v>7</v>
      </c>
      <c r="F34" s="3">
        <v>8</v>
      </c>
      <c r="J34" s="1" t="s">
        <v>4</v>
      </c>
      <c r="K34" s="4"/>
      <c r="L34" s="2">
        <v>100</v>
      </c>
      <c r="M34" s="2"/>
      <c r="N34" s="2">
        <v>100</v>
      </c>
      <c r="O34" s="5">
        <v>200</v>
      </c>
      <c r="P34" s="1">
        <f t="shared" si="10"/>
        <v>400</v>
      </c>
      <c r="T34" s="1" t="s">
        <v>4</v>
      </c>
      <c r="U34" s="2">
        <v>100</v>
      </c>
      <c r="V34" s="2">
        <v>100</v>
      </c>
      <c r="W34" s="2"/>
      <c r="X34" s="2">
        <v>100</v>
      </c>
      <c r="Y34" s="2">
        <v>100</v>
      </c>
      <c r="Z34" s="1">
        <f t="shared" si="11"/>
        <v>400</v>
      </c>
    </row>
    <row r="35" spans="1:27" ht="30" customHeight="1" x14ac:dyDescent="0.3">
      <c r="J35" s="1" t="s">
        <v>10</v>
      </c>
      <c r="K35" s="1">
        <f>SUM(K30:K34)</f>
        <v>100</v>
      </c>
      <c r="L35" s="1">
        <f t="shared" ref="L35:O35" si="12">SUM(L30:L34)</f>
        <v>400</v>
      </c>
      <c r="M35" s="1">
        <f t="shared" si="12"/>
        <v>200</v>
      </c>
      <c r="N35" s="1">
        <f t="shared" si="12"/>
        <v>300</v>
      </c>
      <c r="O35" s="1">
        <f t="shared" si="12"/>
        <v>300</v>
      </c>
      <c r="T35" s="1" t="s">
        <v>10</v>
      </c>
      <c r="U35" s="1">
        <f>SUM(U30:U34)</f>
        <v>100</v>
      </c>
      <c r="V35" s="1">
        <f t="shared" ref="V35:Y35" si="13">SUM(V30:V34)</f>
        <v>400</v>
      </c>
      <c r="W35" s="1">
        <f t="shared" si="13"/>
        <v>200</v>
      </c>
      <c r="X35" s="1">
        <f t="shared" si="13"/>
        <v>300</v>
      </c>
      <c r="Y35" s="1">
        <f t="shared" si="13"/>
        <v>300</v>
      </c>
    </row>
    <row r="37" spans="1:27" ht="30" customHeight="1" x14ac:dyDescent="0.3">
      <c r="A37" s="6" t="s">
        <v>20</v>
      </c>
      <c r="B37" s="6"/>
      <c r="C37" s="6"/>
      <c r="D37" s="6"/>
      <c r="E37" s="6"/>
      <c r="F37" s="6"/>
      <c r="G37" s="6"/>
      <c r="J37" s="6" t="s">
        <v>20</v>
      </c>
      <c r="K37" s="6"/>
      <c r="L37" s="6"/>
      <c r="M37" s="6"/>
      <c r="N37" s="6"/>
      <c r="O37" s="6"/>
      <c r="P37" s="6"/>
      <c r="Q37" s="1" cm="1">
        <f t="array" ref="Q37">MAX(IF(ISNUMBER(K39:O43)*$B$3:$F$7, ISNUMBER(K39:O43)*$B$3:$F$7, " "))</f>
        <v>8</v>
      </c>
      <c r="S37" s="8"/>
      <c r="T37" s="6" t="s">
        <v>17</v>
      </c>
      <c r="U37" s="6"/>
      <c r="V37" s="6"/>
      <c r="W37" s="6"/>
      <c r="X37" s="6"/>
      <c r="Y37" s="6"/>
      <c r="Z37" s="6"/>
      <c r="AA37" s="1" cm="1">
        <f t="array" ref="AA37">MAX(IF(ISNUMBER(U39:Y43)*$B$3:$F$7, ISNUMBER(U39:Y43)*$B$3:$F$7, " "))</f>
        <v>8</v>
      </c>
    </row>
    <row r="38" spans="1:27" ht="30" customHeight="1" x14ac:dyDescent="0.3">
      <c r="B38" s="1" t="s">
        <v>5</v>
      </c>
      <c r="C38" s="1" t="s">
        <v>6</v>
      </c>
      <c r="D38" s="1" t="s">
        <v>7</v>
      </c>
      <c r="E38" s="1" t="s">
        <v>8</v>
      </c>
      <c r="F38" s="1" t="s">
        <v>9</v>
      </c>
      <c r="K38" s="1" t="s">
        <v>5</v>
      </c>
      <c r="L38" s="1" t="s">
        <v>6</v>
      </c>
      <c r="M38" s="1" t="s">
        <v>7</v>
      </c>
      <c r="N38" s="1" t="s">
        <v>8</v>
      </c>
      <c r="O38" s="1" t="s">
        <v>9</v>
      </c>
      <c r="P38" s="1" t="s">
        <v>11</v>
      </c>
      <c r="U38" s="1" t="s">
        <v>5</v>
      </c>
      <c r="V38" s="1" t="s">
        <v>6</v>
      </c>
      <c r="W38" s="1" t="s">
        <v>7</v>
      </c>
      <c r="X38" s="1" t="s">
        <v>8</v>
      </c>
      <c r="Y38" s="1" t="s">
        <v>9</v>
      </c>
      <c r="Z38" s="1" t="s">
        <v>11</v>
      </c>
    </row>
    <row r="39" spans="1:27" ht="30" customHeight="1" x14ac:dyDescent="0.3">
      <c r="A39" s="1" t="s">
        <v>0</v>
      </c>
      <c r="B39" s="10">
        <v>8</v>
      </c>
      <c r="C39" s="3">
        <v>8</v>
      </c>
      <c r="D39" s="3">
        <v>6</v>
      </c>
      <c r="E39" s="10">
        <v>7</v>
      </c>
      <c r="F39" s="10">
        <v>8</v>
      </c>
      <c r="J39" s="1" t="s">
        <v>0</v>
      </c>
      <c r="K39" s="2"/>
      <c r="L39" s="5">
        <v>100</v>
      </c>
      <c r="M39" s="2">
        <v>200</v>
      </c>
      <c r="N39" s="4"/>
      <c r="O39" s="2"/>
      <c r="P39" s="1">
        <f>SUM(K39:O39)</f>
        <v>300</v>
      </c>
      <c r="T39" s="1" t="s">
        <v>0</v>
      </c>
      <c r="U39" s="2"/>
      <c r="V39" s="2"/>
      <c r="W39" s="2">
        <v>200</v>
      </c>
      <c r="X39" s="2">
        <v>100</v>
      </c>
      <c r="Y39" s="2"/>
      <c r="Z39" s="1">
        <f>SUM(U39:Y39)</f>
        <v>300</v>
      </c>
    </row>
    <row r="40" spans="1:27" ht="30" customHeight="1" x14ac:dyDescent="0.3">
      <c r="A40" s="1" t="s">
        <v>1</v>
      </c>
      <c r="B40" s="10">
        <v>6</v>
      </c>
      <c r="C40" s="3">
        <v>7</v>
      </c>
      <c r="D40" s="10">
        <v>8</v>
      </c>
      <c r="E40" s="11">
        <v>9</v>
      </c>
      <c r="F40" s="10">
        <v>8</v>
      </c>
      <c r="J40" s="1" t="s">
        <v>1</v>
      </c>
      <c r="K40" s="4"/>
      <c r="L40" s="5">
        <v>200</v>
      </c>
      <c r="M40" s="2"/>
      <c r="N40" s="2"/>
      <c r="O40" s="2"/>
      <c r="P40" s="1">
        <f t="shared" ref="P40:P43" si="14">SUM(K40:O40)</f>
        <v>200</v>
      </c>
      <c r="T40" s="1" t="s">
        <v>1</v>
      </c>
      <c r="U40" s="2">
        <v>100</v>
      </c>
      <c r="V40" s="2">
        <v>100</v>
      </c>
      <c r="W40" s="2"/>
      <c r="X40" s="2"/>
      <c r="Y40" s="2"/>
      <c r="Z40" s="1">
        <f t="shared" ref="Z40:Z43" si="15">SUM(U40:Y40)</f>
        <v>200</v>
      </c>
    </row>
    <row r="41" spans="1:27" ht="30" customHeight="1" x14ac:dyDescent="0.3">
      <c r="A41" s="1" t="s">
        <v>2</v>
      </c>
      <c r="B41" s="10">
        <v>7</v>
      </c>
      <c r="C41" s="10">
        <v>8</v>
      </c>
      <c r="D41" s="11">
        <v>9</v>
      </c>
      <c r="E41" s="11">
        <v>9</v>
      </c>
      <c r="F41" s="3">
        <v>6</v>
      </c>
      <c r="J41" s="1" t="s">
        <v>2</v>
      </c>
      <c r="K41" s="2"/>
      <c r="L41" s="2"/>
      <c r="M41" s="2"/>
      <c r="N41" s="2"/>
      <c r="O41" s="2">
        <v>200</v>
      </c>
      <c r="P41" s="1">
        <f t="shared" si="14"/>
        <v>200</v>
      </c>
      <c r="T41" s="1" t="s">
        <v>2</v>
      </c>
      <c r="U41" s="2"/>
      <c r="V41" s="2"/>
      <c r="W41" s="2"/>
      <c r="X41" s="2"/>
      <c r="Y41" s="2">
        <v>200</v>
      </c>
      <c r="Z41" s="1">
        <f t="shared" si="15"/>
        <v>200</v>
      </c>
    </row>
    <row r="42" spans="1:27" ht="30" customHeight="1" x14ac:dyDescent="0.3">
      <c r="A42" s="1" t="s">
        <v>3</v>
      </c>
      <c r="B42" s="10">
        <v>7</v>
      </c>
      <c r="C42" s="10">
        <v>7</v>
      </c>
      <c r="D42" s="10">
        <v>8</v>
      </c>
      <c r="E42" s="3">
        <v>8</v>
      </c>
      <c r="F42" s="10">
        <v>8</v>
      </c>
      <c r="J42" s="1" t="s">
        <v>3</v>
      </c>
      <c r="K42" s="2"/>
      <c r="L42" s="4"/>
      <c r="M42" s="2"/>
      <c r="N42" s="5">
        <v>200</v>
      </c>
      <c r="O42" s="2"/>
      <c r="P42" s="1">
        <f t="shared" si="14"/>
        <v>200</v>
      </c>
      <c r="T42" s="1" t="s">
        <v>3</v>
      </c>
      <c r="U42" s="2"/>
      <c r="V42" s="2">
        <v>100</v>
      </c>
      <c r="W42" s="2"/>
      <c r="X42" s="2">
        <v>100</v>
      </c>
      <c r="Y42" s="2"/>
      <c r="Z42" s="1">
        <f t="shared" si="15"/>
        <v>200</v>
      </c>
    </row>
    <row r="43" spans="1:27" ht="30" customHeight="1" x14ac:dyDescent="0.3">
      <c r="A43" s="1" t="s">
        <v>4</v>
      </c>
      <c r="B43" s="3">
        <v>7</v>
      </c>
      <c r="C43" s="3">
        <v>7</v>
      </c>
      <c r="D43" s="10">
        <v>8</v>
      </c>
      <c r="E43" s="3">
        <v>7</v>
      </c>
      <c r="F43" s="3">
        <v>8</v>
      </c>
      <c r="J43" s="1" t="s">
        <v>4</v>
      </c>
      <c r="K43" s="5">
        <v>100</v>
      </c>
      <c r="L43" s="4">
        <v>100</v>
      </c>
      <c r="M43" s="2"/>
      <c r="N43" s="2">
        <v>100</v>
      </c>
      <c r="O43" s="2">
        <v>100</v>
      </c>
      <c r="P43" s="1">
        <f t="shared" si="14"/>
        <v>400</v>
      </c>
      <c r="T43" s="1" t="s">
        <v>4</v>
      </c>
      <c r="U43" s="2"/>
      <c r="V43" s="2">
        <v>200</v>
      </c>
      <c r="W43" s="2"/>
      <c r="X43" s="2">
        <v>100</v>
      </c>
      <c r="Y43" s="2">
        <v>100</v>
      </c>
      <c r="Z43" s="1">
        <f t="shared" si="15"/>
        <v>400</v>
      </c>
    </row>
    <row r="44" spans="1:27" ht="30" customHeight="1" x14ac:dyDescent="0.3">
      <c r="J44" s="1" t="s">
        <v>10</v>
      </c>
      <c r="K44" s="1">
        <f>SUM(K39:K43)</f>
        <v>100</v>
      </c>
      <c r="L44" s="1">
        <f t="shared" ref="L44:O44" si="16">SUM(L39:L43)</f>
        <v>400</v>
      </c>
      <c r="M44" s="1">
        <f t="shared" si="16"/>
        <v>200</v>
      </c>
      <c r="N44" s="1">
        <f t="shared" si="16"/>
        <v>300</v>
      </c>
      <c r="O44" s="1">
        <f t="shared" si="16"/>
        <v>300</v>
      </c>
      <c r="T44" s="1" t="s">
        <v>10</v>
      </c>
      <c r="U44" s="1">
        <f>SUM(U39:U43)</f>
        <v>100</v>
      </c>
      <c r="V44" s="1">
        <f t="shared" ref="V44:Y44" si="17">SUM(V39:V43)</f>
        <v>400</v>
      </c>
      <c r="W44" s="1">
        <f t="shared" si="17"/>
        <v>200</v>
      </c>
      <c r="X44" s="1">
        <f t="shared" si="17"/>
        <v>300</v>
      </c>
      <c r="Y44" s="1">
        <f t="shared" si="17"/>
        <v>300</v>
      </c>
    </row>
    <row r="46" spans="1:27" ht="30" customHeight="1" x14ac:dyDescent="0.3">
      <c r="A46" s="6" t="s">
        <v>20</v>
      </c>
      <c r="B46" s="6"/>
      <c r="C46" s="6"/>
      <c r="D46" s="6"/>
      <c r="E46" s="6"/>
      <c r="F46" s="6"/>
      <c r="G46" s="6"/>
      <c r="J46" s="6" t="s">
        <v>20</v>
      </c>
      <c r="K46" s="6"/>
      <c r="L46" s="6"/>
      <c r="M46" s="6"/>
      <c r="N46" s="6"/>
      <c r="O46" s="6"/>
      <c r="P46" s="6"/>
      <c r="Q46" s="1" cm="1">
        <f t="array" ref="Q46">MAX(IF(ISNUMBER(K48:O52)*$B$3:$F$7, ISNUMBER(K48:O52)*$B$3:$F$7, " "))</f>
        <v>8</v>
      </c>
      <c r="S46" s="8"/>
      <c r="T46" s="6" t="s">
        <v>17</v>
      </c>
      <c r="U46" s="6"/>
      <c r="V46" s="6"/>
      <c r="W46" s="6"/>
      <c r="X46" s="6"/>
      <c r="Y46" s="6"/>
      <c r="Z46" s="6"/>
      <c r="AA46" s="1" cm="1">
        <f t="array" ref="AA46">MAX(IF(ISNUMBER(U48:Y52)*$B$3:$F$7, ISNUMBER(U48:Y52)*$B$3:$F$7, " "))</f>
        <v>8</v>
      </c>
    </row>
    <row r="47" spans="1:27" ht="30" customHeight="1" x14ac:dyDescent="0.3">
      <c r="B47" s="1" t="s">
        <v>5</v>
      </c>
      <c r="C47" s="1" t="s">
        <v>6</v>
      </c>
      <c r="D47" s="1" t="s">
        <v>7</v>
      </c>
      <c r="E47" s="1" t="s">
        <v>8</v>
      </c>
      <c r="F47" s="1" t="s">
        <v>9</v>
      </c>
      <c r="K47" s="1" t="s">
        <v>5</v>
      </c>
      <c r="L47" s="1" t="s">
        <v>6</v>
      </c>
      <c r="M47" s="1" t="s">
        <v>7</v>
      </c>
      <c r="N47" s="1" t="s">
        <v>8</v>
      </c>
      <c r="O47" s="1" t="s">
        <v>9</v>
      </c>
      <c r="P47" s="1" t="s">
        <v>11</v>
      </c>
      <c r="U47" s="1" t="s">
        <v>5</v>
      </c>
      <c r="V47" s="1" t="s">
        <v>6</v>
      </c>
      <c r="W47" s="1" t="s">
        <v>7</v>
      </c>
      <c r="X47" s="1" t="s">
        <v>8</v>
      </c>
      <c r="Y47" s="1" t="s">
        <v>9</v>
      </c>
      <c r="Z47" s="1" t="s">
        <v>11</v>
      </c>
    </row>
    <row r="48" spans="1:27" ht="30" customHeight="1" x14ac:dyDescent="0.3">
      <c r="A48" s="1" t="s">
        <v>0</v>
      </c>
      <c r="B48" s="10">
        <v>8</v>
      </c>
      <c r="C48" s="10">
        <v>8</v>
      </c>
      <c r="D48" s="3">
        <v>6</v>
      </c>
      <c r="E48" s="3">
        <v>7</v>
      </c>
      <c r="F48" s="10">
        <v>8</v>
      </c>
      <c r="J48" s="1" t="s">
        <v>0</v>
      </c>
      <c r="K48" s="9"/>
      <c r="L48" s="9"/>
      <c r="M48" s="9">
        <v>200</v>
      </c>
      <c r="N48" s="9">
        <v>100</v>
      </c>
      <c r="O48" s="9"/>
      <c r="P48" s="1">
        <f>SUM(K48:O48)</f>
        <v>300</v>
      </c>
      <c r="T48" s="1" t="s">
        <v>0</v>
      </c>
      <c r="U48" s="2"/>
      <c r="V48" s="2"/>
      <c r="W48" s="2">
        <v>200</v>
      </c>
      <c r="X48" s="2">
        <v>100</v>
      </c>
      <c r="Y48" s="2"/>
      <c r="Z48" s="1">
        <f>SUM(U48:Y48)</f>
        <v>300</v>
      </c>
    </row>
    <row r="49" spans="1:26" ht="30" customHeight="1" x14ac:dyDescent="0.3">
      <c r="A49" s="1" t="s">
        <v>1</v>
      </c>
      <c r="B49" s="3">
        <v>6</v>
      </c>
      <c r="C49" s="3">
        <v>7</v>
      </c>
      <c r="D49" s="10">
        <v>8</v>
      </c>
      <c r="E49" s="11">
        <v>9</v>
      </c>
      <c r="F49" s="10">
        <v>8</v>
      </c>
      <c r="J49" s="1" t="s">
        <v>1</v>
      </c>
      <c r="K49" s="9">
        <v>100</v>
      </c>
      <c r="L49" s="9">
        <v>100</v>
      </c>
      <c r="M49" s="9"/>
      <c r="N49" s="9"/>
      <c r="O49" s="9"/>
      <c r="P49" s="1">
        <f t="shared" ref="P49:P52" si="18">SUM(K49:O49)</f>
        <v>200</v>
      </c>
      <c r="T49" s="1" t="s">
        <v>1</v>
      </c>
      <c r="U49" s="2">
        <v>100</v>
      </c>
      <c r="V49" s="2">
        <v>100</v>
      </c>
      <c r="W49" s="2"/>
      <c r="X49" s="2"/>
      <c r="Y49" s="2"/>
      <c r="Z49" s="1">
        <f t="shared" ref="Z49:Z52" si="19">SUM(U49:Y49)</f>
        <v>200</v>
      </c>
    </row>
    <row r="50" spans="1:26" ht="30" customHeight="1" x14ac:dyDescent="0.3">
      <c r="A50" s="1" t="s">
        <v>2</v>
      </c>
      <c r="B50" s="10">
        <v>7</v>
      </c>
      <c r="C50" s="10">
        <v>8</v>
      </c>
      <c r="D50" s="11">
        <v>9</v>
      </c>
      <c r="E50" s="11">
        <v>9</v>
      </c>
      <c r="F50" s="3">
        <v>6</v>
      </c>
      <c r="J50" s="1" t="s">
        <v>2</v>
      </c>
      <c r="K50" s="9"/>
      <c r="L50" s="9"/>
      <c r="M50" s="9"/>
      <c r="N50" s="9"/>
      <c r="O50" s="9">
        <v>200</v>
      </c>
      <c r="P50" s="1">
        <f t="shared" si="18"/>
        <v>200</v>
      </c>
      <c r="T50" s="1" t="s">
        <v>2</v>
      </c>
      <c r="U50" s="2"/>
      <c r="V50" s="2"/>
      <c r="W50" s="2"/>
      <c r="X50" s="2"/>
      <c r="Y50" s="2">
        <v>200</v>
      </c>
      <c r="Z50" s="1">
        <f t="shared" si="19"/>
        <v>200</v>
      </c>
    </row>
    <row r="51" spans="1:26" ht="30" customHeight="1" x14ac:dyDescent="0.3">
      <c r="A51" s="1" t="s">
        <v>3</v>
      </c>
      <c r="B51" s="10">
        <v>7</v>
      </c>
      <c r="C51" s="3">
        <v>7</v>
      </c>
      <c r="D51" s="10">
        <v>8</v>
      </c>
      <c r="E51" s="3">
        <v>8</v>
      </c>
      <c r="F51" s="10">
        <v>8</v>
      </c>
      <c r="J51" s="1" t="s">
        <v>3</v>
      </c>
      <c r="K51" s="9"/>
      <c r="L51" s="4">
        <v>100</v>
      </c>
      <c r="M51" s="9"/>
      <c r="N51" s="5">
        <v>100</v>
      </c>
      <c r="O51" s="9"/>
      <c r="P51" s="1">
        <f t="shared" si="18"/>
        <v>200</v>
      </c>
      <c r="T51" s="1" t="s">
        <v>3</v>
      </c>
      <c r="U51" s="2"/>
      <c r="V51" s="2">
        <v>200</v>
      </c>
      <c r="W51" s="2"/>
      <c r="X51" s="2"/>
      <c r="Y51" s="2"/>
      <c r="Z51" s="1">
        <f t="shared" si="19"/>
        <v>200</v>
      </c>
    </row>
    <row r="52" spans="1:26" ht="30" customHeight="1" x14ac:dyDescent="0.3">
      <c r="A52" s="1" t="s">
        <v>4</v>
      </c>
      <c r="B52" s="10">
        <v>7</v>
      </c>
      <c r="C52" s="3">
        <v>7</v>
      </c>
      <c r="D52" s="10">
        <v>8</v>
      </c>
      <c r="E52" s="3">
        <v>7</v>
      </c>
      <c r="F52" s="3">
        <v>8</v>
      </c>
      <c r="J52" s="1" t="s">
        <v>4</v>
      </c>
      <c r="K52" s="9"/>
      <c r="L52" s="5">
        <v>200</v>
      </c>
      <c r="M52" s="9"/>
      <c r="N52" s="4">
        <v>100</v>
      </c>
      <c r="O52" s="9">
        <v>100</v>
      </c>
      <c r="P52" s="1">
        <f t="shared" si="18"/>
        <v>400</v>
      </c>
      <c r="T52" s="1" t="s">
        <v>4</v>
      </c>
      <c r="U52" s="2"/>
      <c r="V52" s="2">
        <v>100</v>
      </c>
      <c r="W52" s="2"/>
      <c r="X52" s="2">
        <v>200</v>
      </c>
      <c r="Y52" s="2">
        <v>100</v>
      </c>
      <c r="Z52" s="1">
        <f t="shared" si="19"/>
        <v>400</v>
      </c>
    </row>
    <row r="53" spans="1:26" ht="30" customHeight="1" x14ac:dyDescent="0.3">
      <c r="J53" s="1" t="s">
        <v>10</v>
      </c>
      <c r="K53" s="1">
        <f>SUM(K48:K52)</f>
        <v>100</v>
      </c>
      <c r="L53" s="1">
        <f t="shared" ref="L53:O53" si="20">SUM(L48:L52)</f>
        <v>400</v>
      </c>
      <c r="M53" s="1">
        <f t="shared" si="20"/>
        <v>200</v>
      </c>
      <c r="N53" s="1">
        <f t="shared" si="20"/>
        <v>300</v>
      </c>
      <c r="O53" s="1">
        <f t="shared" si="20"/>
        <v>300</v>
      </c>
      <c r="T53" s="1" t="s">
        <v>10</v>
      </c>
      <c r="U53" s="1">
        <f>SUM(U48:U52)</f>
        <v>100</v>
      </c>
      <c r="V53" s="1">
        <f t="shared" ref="V53:Y53" si="21">SUM(V48:V52)</f>
        <v>400</v>
      </c>
      <c r="W53" s="1">
        <f t="shared" si="21"/>
        <v>200</v>
      </c>
      <c r="X53" s="1">
        <f t="shared" si="21"/>
        <v>300</v>
      </c>
      <c r="Y53" s="1">
        <f t="shared" si="21"/>
        <v>300</v>
      </c>
    </row>
    <row r="55" spans="1:26" ht="30" customHeight="1" x14ac:dyDescent="0.3">
      <c r="A55" s="6" t="s">
        <v>20</v>
      </c>
      <c r="B55" s="6"/>
      <c r="C55" s="6"/>
      <c r="D55" s="6"/>
      <c r="E55" s="6"/>
      <c r="F55" s="6"/>
      <c r="G55" s="6"/>
      <c r="J55" s="6" t="s">
        <v>18</v>
      </c>
      <c r="K55" s="6"/>
      <c r="L55" s="6"/>
      <c r="M55" s="6"/>
      <c r="N55" s="6"/>
      <c r="O55" s="6"/>
      <c r="P55" s="6"/>
      <c r="Q55" s="1" cm="1">
        <f t="array" ref="Q55">MAX(IF(ISNUMBER(K57:O61)*$B$3:$F$7, ISNUMBER(K57:O61)*$B$3:$F$7, " "))</f>
        <v>8</v>
      </c>
    </row>
    <row r="56" spans="1:26" ht="30" customHeight="1" x14ac:dyDescent="0.3">
      <c r="B56" s="1" t="s">
        <v>5</v>
      </c>
      <c r="C56" s="1" t="s">
        <v>6</v>
      </c>
      <c r="D56" s="1" t="s">
        <v>7</v>
      </c>
      <c r="E56" s="1" t="s">
        <v>8</v>
      </c>
      <c r="F56" s="1" t="s">
        <v>9</v>
      </c>
      <c r="K56" s="1" t="s">
        <v>5</v>
      </c>
      <c r="L56" s="1" t="s">
        <v>6</v>
      </c>
      <c r="M56" s="1" t="s">
        <v>7</v>
      </c>
      <c r="N56" s="1" t="s">
        <v>8</v>
      </c>
      <c r="O56" s="1" t="s">
        <v>9</v>
      </c>
      <c r="P56" s="1" t="s">
        <v>11</v>
      </c>
    </row>
    <row r="57" spans="1:26" ht="30" customHeight="1" x14ac:dyDescent="0.3">
      <c r="A57" s="1" t="s">
        <v>0</v>
      </c>
      <c r="B57" s="10">
        <v>8</v>
      </c>
      <c r="C57" s="10">
        <v>8</v>
      </c>
      <c r="D57" s="3">
        <v>6</v>
      </c>
      <c r="E57" s="3">
        <v>7</v>
      </c>
      <c r="F57" s="10">
        <v>8</v>
      </c>
      <c r="J57" s="1" t="s">
        <v>0</v>
      </c>
      <c r="K57" s="2"/>
      <c r="L57" s="2"/>
      <c r="M57" s="2">
        <v>200</v>
      </c>
      <c r="N57" s="2">
        <v>100</v>
      </c>
      <c r="O57" s="2"/>
      <c r="P57" s="1">
        <f>SUM(K57:O57)</f>
        <v>300</v>
      </c>
    </row>
    <row r="58" spans="1:26" ht="30" customHeight="1" x14ac:dyDescent="0.3">
      <c r="A58" s="1" t="s">
        <v>1</v>
      </c>
      <c r="B58" s="3">
        <v>6</v>
      </c>
      <c r="C58" s="3">
        <v>7</v>
      </c>
      <c r="D58" s="10">
        <v>8</v>
      </c>
      <c r="E58" s="11">
        <v>9</v>
      </c>
      <c r="F58" s="10">
        <v>8</v>
      </c>
      <c r="J58" s="1" t="s">
        <v>1</v>
      </c>
      <c r="K58" s="2">
        <v>100</v>
      </c>
      <c r="L58" s="2">
        <v>100</v>
      </c>
      <c r="M58" s="2"/>
      <c r="N58" s="2"/>
      <c r="O58" s="2"/>
      <c r="P58" s="1">
        <f t="shared" ref="P58:P61" si="22">SUM(K58:O58)</f>
        <v>200</v>
      </c>
    </row>
    <row r="59" spans="1:26" ht="30" customHeight="1" x14ac:dyDescent="0.3">
      <c r="A59" s="1" t="s">
        <v>2</v>
      </c>
      <c r="B59" s="10">
        <v>7</v>
      </c>
      <c r="C59" s="10">
        <v>8</v>
      </c>
      <c r="D59" s="11">
        <v>9</v>
      </c>
      <c r="E59" s="11">
        <v>9</v>
      </c>
      <c r="F59" s="3">
        <v>6</v>
      </c>
      <c r="J59" s="1" t="s">
        <v>2</v>
      </c>
      <c r="K59" s="2"/>
      <c r="L59" s="2"/>
      <c r="M59" s="2"/>
      <c r="N59" s="2"/>
      <c r="O59" s="2">
        <v>200</v>
      </c>
      <c r="P59" s="1">
        <f t="shared" si="22"/>
        <v>200</v>
      </c>
    </row>
    <row r="60" spans="1:26" ht="30" customHeight="1" x14ac:dyDescent="0.3">
      <c r="A60" s="1" t="s">
        <v>3</v>
      </c>
      <c r="B60" s="10">
        <v>7</v>
      </c>
      <c r="C60" s="3">
        <v>7</v>
      </c>
      <c r="D60" s="10">
        <v>8</v>
      </c>
      <c r="E60" s="10">
        <v>8</v>
      </c>
      <c r="F60" s="10">
        <v>8</v>
      </c>
      <c r="J60" s="1" t="s">
        <v>3</v>
      </c>
      <c r="K60" s="2"/>
      <c r="L60" s="2">
        <v>200</v>
      </c>
      <c r="M60" s="2"/>
      <c r="N60" s="2"/>
      <c r="O60" s="2"/>
      <c r="P60" s="1">
        <f t="shared" si="22"/>
        <v>200</v>
      </c>
    </row>
    <row r="61" spans="1:26" ht="30" customHeight="1" x14ac:dyDescent="0.3">
      <c r="A61" s="1" t="s">
        <v>4</v>
      </c>
      <c r="B61" s="10">
        <v>7</v>
      </c>
      <c r="C61" s="3">
        <v>7</v>
      </c>
      <c r="D61" s="10">
        <v>8</v>
      </c>
      <c r="E61" s="3">
        <v>7</v>
      </c>
      <c r="F61" s="12">
        <v>8</v>
      </c>
      <c r="J61" s="1" t="s">
        <v>4</v>
      </c>
      <c r="K61" s="2"/>
      <c r="L61" s="2">
        <v>100</v>
      </c>
      <c r="M61" s="2"/>
      <c r="N61" s="2">
        <v>200</v>
      </c>
      <c r="O61" s="2">
        <v>100</v>
      </c>
      <c r="P61" s="1">
        <f t="shared" si="22"/>
        <v>400</v>
      </c>
    </row>
    <row r="62" spans="1:26" ht="30" customHeight="1" x14ac:dyDescent="0.3">
      <c r="J62" s="1" t="s">
        <v>10</v>
      </c>
      <c r="K62" s="1">
        <f>SUM(K57:K61)</f>
        <v>100</v>
      </c>
      <c r="L62" s="1">
        <f t="shared" ref="L62:O62" si="23">SUM(L57:L61)</f>
        <v>400</v>
      </c>
      <c r="M62" s="1">
        <f t="shared" si="23"/>
        <v>200</v>
      </c>
      <c r="N62" s="1">
        <f t="shared" si="23"/>
        <v>300</v>
      </c>
      <c r="O62" s="1">
        <f t="shared" si="23"/>
        <v>300</v>
      </c>
    </row>
  </sheetData>
  <mergeCells count="19">
    <mergeCell ref="A46:G46"/>
    <mergeCell ref="J46:P46"/>
    <mergeCell ref="T46:Z46"/>
    <mergeCell ref="A55:G55"/>
    <mergeCell ref="J55:P55"/>
    <mergeCell ref="A37:G37"/>
    <mergeCell ref="J37:P37"/>
    <mergeCell ref="T37:Z37"/>
    <mergeCell ref="A19:G19"/>
    <mergeCell ref="J19:P19"/>
    <mergeCell ref="T19:Z19"/>
    <mergeCell ref="A28:G28"/>
    <mergeCell ref="J28:P28"/>
    <mergeCell ref="T28:Z28"/>
    <mergeCell ref="A1:G1"/>
    <mergeCell ref="J1:P1"/>
    <mergeCell ref="A10:G10"/>
    <mergeCell ref="J10:P10"/>
    <mergeCell ref="T10:Z10"/>
  </mergeCells>
  <conditionalFormatting sqref="B3:F7">
    <cfRule type="colorScale" priority="58">
      <colorScale>
        <cfvo type="min"/>
        <cfvo type="max"/>
        <color theme="4" tint="0.79998168889431442"/>
        <color theme="5" tint="0.79998168889431442"/>
      </colorScale>
    </cfRule>
  </conditionalFormatting>
  <conditionalFormatting sqref="K8:O8">
    <cfRule type="expression" dxfId="51" priority="51">
      <formula>K8=B8</formula>
    </cfRule>
  </conditionalFormatting>
  <conditionalFormatting sqref="P3:P7">
    <cfRule type="expression" dxfId="50" priority="50">
      <formula>P3=G3</formula>
    </cfRule>
  </conditionalFormatting>
  <conditionalFormatting sqref="K3:O7">
    <cfRule type="colorScale" priority="38">
      <colorScale>
        <cfvo type="min"/>
        <cfvo type="max"/>
        <color theme="4" tint="0.79998168889431442"/>
        <color theme="5" tint="0.79998168889431442"/>
      </colorScale>
    </cfRule>
  </conditionalFormatting>
  <conditionalFormatting sqref="B12:F16">
    <cfRule type="colorScale" priority="37">
      <colorScale>
        <cfvo type="min"/>
        <cfvo type="max"/>
        <color theme="4" tint="0.79998168889431442"/>
        <color theme="5" tint="0.79998168889431442"/>
      </colorScale>
    </cfRule>
  </conditionalFormatting>
  <conditionalFormatting sqref="K17:O17">
    <cfRule type="expression" dxfId="49" priority="36">
      <formula>K17=K8</formula>
    </cfRule>
  </conditionalFormatting>
  <conditionalFormatting sqref="P12:P16">
    <cfRule type="expression" dxfId="48" priority="35">
      <formula>P12=P3</formula>
    </cfRule>
  </conditionalFormatting>
  <conditionalFormatting sqref="U17:Y17">
    <cfRule type="expression" dxfId="47" priority="33">
      <formula>U17=K17</formula>
    </cfRule>
  </conditionalFormatting>
  <conditionalFormatting sqref="Z12:Z16">
    <cfRule type="expression" dxfId="46" priority="32">
      <formula>Z12=P12</formula>
    </cfRule>
  </conditionalFormatting>
  <conditionalFormatting sqref="U12:Y16">
    <cfRule type="colorScale" priority="31">
      <colorScale>
        <cfvo type="min"/>
        <cfvo type="max"/>
        <color theme="4" tint="0.79998168889431442"/>
        <color theme="5" tint="0.79998168889431442"/>
      </colorScale>
    </cfRule>
  </conditionalFormatting>
  <conditionalFormatting sqref="B21:F25">
    <cfRule type="colorScale" priority="30">
      <colorScale>
        <cfvo type="min"/>
        <cfvo type="max"/>
        <color theme="4" tint="0.79998168889431442"/>
        <color theme="5" tint="0.79998168889431442"/>
      </colorScale>
    </cfRule>
  </conditionalFormatting>
  <conditionalFormatting sqref="K26:O26">
    <cfRule type="expression" dxfId="45" priority="29">
      <formula>K26=K17</formula>
    </cfRule>
  </conditionalFormatting>
  <conditionalFormatting sqref="P21:P25">
    <cfRule type="expression" dxfId="44" priority="28">
      <formula>P21=P12</formula>
    </cfRule>
  </conditionalFormatting>
  <conditionalFormatting sqref="U26:Y26">
    <cfRule type="expression" dxfId="43" priority="27">
      <formula>U26=K26</formula>
    </cfRule>
  </conditionalFormatting>
  <conditionalFormatting sqref="Z21:Z25">
    <cfRule type="expression" dxfId="42" priority="26">
      <formula>Z21=P21</formula>
    </cfRule>
  </conditionalFormatting>
  <conditionalFormatting sqref="U21:Y25">
    <cfRule type="colorScale" priority="25">
      <colorScale>
        <cfvo type="min"/>
        <cfvo type="max"/>
        <color theme="4" tint="0.79998168889431442"/>
        <color theme="5" tint="0.79998168889431442"/>
      </colorScale>
    </cfRule>
  </conditionalFormatting>
  <conditionalFormatting sqref="B30:F34">
    <cfRule type="colorScale" priority="24">
      <colorScale>
        <cfvo type="min"/>
        <cfvo type="max"/>
        <color theme="4" tint="0.79998168889431442"/>
        <color theme="5" tint="0.79998168889431442"/>
      </colorScale>
    </cfRule>
  </conditionalFormatting>
  <conditionalFormatting sqref="K35:O35">
    <cfRule type="expression" dxfId="41" priority="23">
      <formula>K35=K26</formula>
    </cfRule>
  </conditionalFormatting>
  <conditionalFormatting sqref="P30:P34">
    <cfRule type="expression" dxfId="40" priority="22">
      <formula>P30=P21</formula>
    </cfRule>
  </conditionalFormatting>
  <conditionalFormatting sqref="U35:Y35">
    <cfRule type="expression" dxfId="39" priority="21">
      <formula>U35=K35</formula>
    </cfRule>
  </conditionalFormatting>
  <conditionalFormatting sqref="Z30:Z34">
    <cfRule type="expression" dxfId="38" priority="20">
      <formula>Z30=P30</formula>
    </cfRule>
  </conditionalFormatting>
  <conditionalFormatting sqref="U30:Y34">
    <cfRule type="colorScale" priority="19">
      <colorScale>
        <cfvo type="min"/>
        <cfvo type="max"/>
        <color theme="4" tint="0.79998168889431442"/>
        <color theme="5" tint="0.79998168889431442"/>
      </colorScale>
    </cfRule>
  </conditionalFormatting>
  <conditionalFormatting sqref="B39:F43">
    <cfRule type="colorScale" priority="17">
      <colorScale>
        <cfvo type="min"/>
        <cfvo type="max"/>
        <color theme="4" tint="0.79998168889431442"/>
        <color theme="5" tint="0.79998168889431442"/>
      </colorScale>
    </cfRule>
  </conditionalFormatting>
  <conditionalFormatting sqref="K44:O44">
    <cfRule type="expression" dxfId="37" priority="16">
      <formula>K44=K35</formula>
    </cfRule>
  </conditionalFormatting>
  <conditionalFormatting sqref="P39:P43">
    <cfRule type="expression" dxfId="36" priority="15">
      <formula>P39=P30</formula>
    </cfRule>
  </conditionalFormatting>
  <conditionalFormatting sqref="U44:Y44">
    <cfRule type="expression" dxfId="35" priority="14">
      <formula>U44=K44</formula>
    </cfRule>
  </conditionalFormatting>
  <conditionalFormatting sqref="Z39:Z43">
    <cfRule type="expression" dxfId="34" priority="13">
      <formula>Z39=P39</formula>
    </cfRule>
  </conditionalFormatting>
  <conditionalFormatting sqref="U39:Y43">
    <cfRule type="colorScale" priority="12">
      <colorScale>
        <cfvo type="min"/>
        <cfvo type="max"/>
        <color theme="4" tint="0.79998168889431442"/>
        <color theme="5" tint="0.79998168889431442"/>
      </colorScale>
    </cfRule>
  </conditionalFormatting>
  <conditionalFormatting sqref="B48:F52">
    <cfRule type="colorScale" priority="10">
      <colorScale>
        <cfvo type="min"/>
        <cfvo type="max"/>
        <color theme="4" tint="0.79998168889431442"/>
        <color theme="5" tint="0.79998168889431442"/>
      </colorScale>
    </cfRule>
  </conditionalFormatting>
  <conditionalFormatting sqref="K53:O53">
    <cfRule type="expression" dxfId="33" priority="9">
      <formula>K53=K44</formula>
    </cfRule>
  </conditionalFormatting>
  <conditionalFormatting sqref="P48:P52">
    <cfRule type="expression" dxfId="32" priority="8">
      <formula>P48=P39</formula>
    </cfRule>
  </conditionalFormatting>
  <conditionalFormatting sqref="U53:Y53">
    <cfRule type="expression" dxfId="31" priority="7">
      <formula>U53=K53</formula>
    </cfRule>
  </conditionalFormatting>
  <conditionalFormatting sqref="Z48:Z52">
    <cfRule type="expression" dxfId="30" priority="6">
      <formula>Z48=P48</formula>
    </cfRule>
  </conditionalFormatting>
  <conditionalFormatting sqref="U48:Y52">
    <cfRule type="colorScale" priority="5">
      <colorScale>
        <cfvo type="min"/>
        <cfvo type="max"/>
        <color theme="4" tint="0.79998168889431442"/>
        <color theme="5" tint="0.79998168889431442"/>
      </colorScale>
    </cfRule>
  </conditionalFormatting>
  <conditionalFormatting sqref="B57:F61">
    <cfRule type="colorScale" priority="4">
      <colorScale>
        <cfvo type="min"/>
        <cfvo type="max"/>
        <color theme="4" tint="0.79998168889431442"/>
        <color theme="5" tint="0.79998168889431442"/>
      </colorScale>
    </cfRule>
  </conditionalFormatting>
  <conditionalFormatting sqref="K62:O62">
    <cfRule type="expression" dxfId="29" priority="3">
      <formula>K62=K53</formula>
    </cfRule>
  </conditionalFormatting>
  <conditionalFormatting sqref="P57:P61">
    <cfRule type="expression" dxfId="28" priority="2">
      <formula>P57=P48</formula>
    </cfRule>
  </conditionalFormatting>
  <conditionalFormatting sqref="K57:O61">
    <cfRule type="colorScale" priority="1">
      <colorScale>
        <cfvo type="min"/>
        <cfvo type="max"/>
        <color theme="4" tint="0.79998168889431442"/>
        <color theme="5" tint="0.79998168889431442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FF0D5-7B64-4CAE-B8B8-7AD3DFA51BD4}">
  <dimension ref="A1:AY18"/>
  <sheetViews>
    <sheetView topLeftCell="O1" zoomScale="120" zoomScaleNormal="120" workbookViewId="0">
      <selection activeCell="AE3" sqref="AE3:AI7"/>
    </sheetView>
  </sheetViews>
  <sheetFormatPr defaultColWidth="5.5546875" defaultRowHeight="30" customHeight="1" x14ac:dyDescent="0.3"/>
  <cols>
    <col min="1" max="8" width="5.5546875" style="1"/>
    <col min="9" max="16" width="5.5546875" style="1" customWidth="1"/>
    <col min="17" max="17" width="7" style="1" customWidth="1"/>
    <col min="18" max="26" width="5.5546875" style="1" customWidth="1"/>
    <col min="27" max="27" width="8.33203125" style="1" customWidth="1"/>
    <col min="28" max="29" width="5.5546875" style="1" customWidth="1"/>
    <col min="30" max="16384" width="5.5546875" style="1"/>
  </cols>
  <sheetData>
    <row r="1" spans="1:51" ht="30" customHeight="1" x14ac:dyDescent="0.3">
      <c r="A1" s="6" t="s">
        <v>21</v>
      </c>
      <c r="B1" s="6"/>
      <c r="C1" s="6"/>
      <c r="D1" s="6"/>
      <c r="E1" s="6"/>
      <c r="F1" s="6"/>
      <c r="G1" s="6"/>
      <c r="J1" s="6" t="s">
        <v>13</v>
      </c>
      <c r="K1" s="6"/>
      <c r="L1" s="6"/>
      <c r="M1" s="6"/>
      <c r="N1" s="6"/>
      <c r="O1" s="6"/>
      <c r="P1" s="6"/>
      <c r="Q1" s="1" cm="1">
        <f t="array" ref="Q1">MAX(IF(ISNUMBER(K3:O7)*$B$3:$F$7, ISNUMBER(K3:O7)*$B$3:$F$7, " "))</f>
        <v>7</v>
      </c>
      <c r="R1" s="1">
        <f>COUNT(K3:O7)</f>
        <v>9</v>
      </c>
      <c r="T1" s="6" t="s">
        <v>14</v>
      </c>
      <c r="U1" s="6"/>
      <c r="V1" s="6"/>
      <c r="W1" s="6"/>
      <c r="X1" s="6"/>
      <c r="Y1" s="6"/>
      <c r="Z1" s="6"/>
      <c r="AA1" s="1" cm="1">
        <f t="array" ref="AA1">MAX(IF(ISNUMBER(U3:Y7)*$B$3:$F$7, ISNUMBER(U3:Y7)*$B$3:$F$7, " "))</f>
        <v>6</v>
      </c>
      <c r="AB1" s="1">
        <f>COUNT(U3:Y7)</f>
        <v>9</v>
      </c>
      <c r="AD1" s="6" t="s">
        <v>15</v>
      </c>
      <c r="AE1" s="6"/>
      <c r="AF1" s="6"/>
      <c r="AG1" s="6"/>
      <c r="AH1" s="6"/>
      <c r="AI1" s="6"/>
      <c r="AJ1" s="6"/>
      <c r="AK1" s="1" cm="1">
        <f t="array" ref="AK1">MAX(IF(ISNUMBER(AE3:AI7)*$B$3:$F$7, ISNUMBER(AE3:AI7)*$B$3:$F$7, " "))</f>
        <v>6</v>
      </c>
      <c r="AL1" s="1">
        <f>COUNT(AE3:AI7)</f>
        <v>9</v>
      </c>
    </row>
    <row r="2" spans="1:51" ht="30" customHeight="1" x14ac:dyDescent="0.3"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11</v>
      </c>
      <c r="K2" s="1" t="s">
        <v>5</v>
      </c>
      <c r="L2" s="1" t="s">
        <v>6</v>
      </c>
      <c r="M2" s="1" t="s">
        <v>7</v>
      </c>
      <c r="N2" s="1" t="s">
        <v>8</v>
      </c>
      <c r="O2" s="1" t="s">
        <v>9</v>
      </c>
      <c r="P2" s="1" t="s">
        <v>11</v>
      </c>
      <c r="U2" s="1" t="s">
        <v>5</v>
      </c>
      <c r="V2" s="1" t="s">
        <v>6</v>
      </c>
      <c r="W2" s="1" t="s">
        <v>7</v>
      </c>
      <c r="X2" s="1" t="s">
        <v>8</v>
      </c>
      <c r="Y2" s="1" t="s">
        <v>9</v>
      </c>
      <c r="Z2" s="1" t="s">
        <v>11</v>
      </c>
      <c r="AE2" s="1" t="s">
        <v>5</v>
      </c>
      <c r="AF2" s="1" t="s">
        <v>6</v>
      </c>
      <c r="AG2" s="1" t="s">
        <v>7</v>
      </c>
      <c r="AH2" s="1" t="s">
        <v>8</v>
      </c>
      <c r="AI2" s="1" t="s">
        <v>9</v>
      </c>
      <c r="AJ2" s="1" t="s">
        <v>11</v>
      </c>
      <c r="AS2" s="1" t="s">
        <v>16</v>
      </c>
    </row>
    <row r="3" spans="1:51" ht="30" customHeight="1" x14ac:dyDescent="0.3">
      <c r="A3" s="1" t="s">
        <v>0</v>
      </c>
      <c r="B3" s="2">
        <v>4</v>
      </c>
      <c r="C3" s="2">
        <v>5</v>
      </c>
      <c r="D3" s="2">
        <v>6</v>
      </c>
      <c r="E3" s="2">
        <v>6</v>
      </c>
      <c r="F3" s="2">
        <v>4</v>
      </c>
      <c r="G3" s="1">
        <v>250</v>
      </c>
      <c r="J3" s="1" t="s">
        <v>0</v>
      </c>
      <c r="K3" s="2">
        <v>242</v>
      </c>
      <c r="L3" s="2">
        <v>8</v>
      </c>
      <c r="M3" s="2"/>
      <c r="N3" s="2"/>
      <c r="O3" s="2"/>
      <c r="P3" s="1">
        <f>SUM(K3:O3)</f>
        <v>250</v>
      </c>
      <c r="T3" s="1" t="s">
        <v>0</v>
      </c>
      <c r="U3" s="2">
        <v>208</v>
      </c>
      <c r="V3" s="2"/>
      <c r="W3" s="2">
        <v>18</v>
      </c>
      <c r="X3" s="2"/>
      <c r="Y3" s="2">
        <v>24</v>
      </c>
      <c r="Z3" s="1">
        <f>SUM(U3:Y3)</f>
        <v>250</v>
      </c>
      <c r="AD3" s="1" t="s">
        <v>0</v>
      </c>
      <c r="AE3" s="2">
        <v>208</v>
      </c>
      <c r="AF3" s="2"/>
      <c r="AG3" s="2">
        <v>18</v>
      </c>
      <c r="AH3" s="2"/>
      <c r="AI3" s="2">
        <v>24</v>
      </c>
      <c r="AJ3" s="1">
        <f>SUM(AE3:AI3)</f>
        <v>250</v>
      </c>
      <c r="AN3" s="2"/>
      <c r="AO3" s="2"/>
      <c r="AP3" s="2">
        <v>6</v>
      </c>
      <c r="AQ3" s="2"/>
      <c r="AR3" s="2"/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2</v>
      </c>
    </row>
    <row r="4" spans="1:51" ht="30" customHeight="1" x14ac:dyDescent="0.3">
      <c r="A4" s="1" t="s">
        <v>1</v>
      </c>
      <c r="B4" s="2">
        <v>3</v>
      </c>
      <c r="C4" s="2">
        <v>3</v>
      </c>
      <c r="D4" s="2">
        <v>6</v>
      </c>
      <c r="E4" s="2">
        <v>5</v>
      </c>
      <c r="F4" s="2">
        <v>7</v>
      </c>
      <c r="G4" s="1">
        <v>300</v>
      </c>
      <c r="J4" s="1" t="s">
        <v>1</v>
      </c>
      <c r="K4" s="2"/>
      <c r="L4" s="2">
        <v>258</v>
      </c>
      <c r="M4" s="2">
        <v>42</v>
      </c>
      <c r="N4" s="2"/>
      <c r="O4" s="2"/>
      <c r="P4" s="1">
        <f t="shared" ref="P4:P7" si="0">SUM(K4:O4)</f>
        <v>300</v>
      </c>
      <c r="T4" s="1" t="s">
        <v>1</v>
      </c>
      <c r="U4" s="2">
        <v>34</v>
      </c>
      <c r="V4" s="2">
        <v>266</v>
      </c>
      <c r="W4" s="2"/>
      <c r="X4" s="2"/>
      <c r="Y4" s="2"/>
      <c r="Z4" s="1">
        <f t="shared" ref="Z4:Z7" si="1">SUM(U4:Y4)</f>
        <v>300</v>
      </c>
      <c r="AD4" s="1" t="s">
        <v>1</v>
      </c>
      <c r="AE4" s="2">
        <v>34</v>
      </c>
      <c r="AF4" s="2">
        <v>266</v>
      </c>
      <c r="AG4" s="2"/>
      <c r="AH4" s="2"/>
      <c r="AI4" s="2"/>
      <c r="AJ4" s="1">
        <f t="shared" ref="AJ4:AJ7" si="2">SUM(AE4:AI4)</f>
        <v>300</v>
      </c>
      <c r="AN4" s="2"/>
      <c r="AO4" s="2"/>
      <c r="AP4" s="2"/>
      <c r="AQ4" s="2"/>
      <c r="AR4" s="2"/>
      <c r="AS4" s="1">
        <v>0</v>
      </c>
      <c r="AT4" s="1">
        <v>2</v>
      </c>
    </row>
    <row r="5" spans="1:51" ht="30" customHeight="1" x14ac:dyDescent="0.3">
      <c r="A5" s="1" t="s">
        <v>2</v>
      </c>
      <c r="B5" s="2">
        <v>5</v>
      </c>
      <c r="C5" s="2">
        <v>6</v>
      </c>
      <c r="D5" s="2">
        <v>7</v>
      </c>
      <c r="E5" s="2">
        <v>7</v>
      </c>
      <c r="F5" s="2">
        <v>4</v>
      </c>
      <c r="G5" s="1">
        <v>350</v>
      </c>
      <c r="J5" s="1" t="s">
        <v>2</v>
      </c>
      <c r="K5" s="2"/>
      <c r="L5" s="2"/>
      <c r="M5" s="2">
        <v>236</v>
      </c>
      <c r="N5" s="2">
        <v>114</v>
      </c>
      <c r="O5" s="2"/>
      <c r="P5" s="1">
        <f t="shared" si="0"/>
        <v>350</v>
      </c>
      <c r="T5" s="1" t="s">
        <v>2</v>
      </c>
      <c r="U5" s="2"/>
      <c r="V5" s="2"/>
      <c r="W5" s="2"/>
      <c r="X5" s="2"/>
      <c r="Y5" s="2">
        <v>350</v>
      </c>
      <c r="Z5" s="1">
        <f t="shared" si="1"/>
        <v>350</v>
      </c>
      <c r="AD5" s="1" t="s">
        <v>2</v>
      </c>
      <c r="AE5" s="2"/>
      <c r="AF5" s="2"/>
      <c r="AG5" s="2"/>
      <c r="AH5" s="2"/>
      <c r="AI5" s="2">
        <v>350</v>
      </c>
      <c r="AJ5" s="1">
        <f t="shared" si="2"/>
        <v>350</v>
      </c>
      <c r="AN5" s="2"/>
      <c r="AO5" s="2"/>
      <c r="AP5" s="2"/>
      <c r="AQ5" s="2"/>
      <c r="AR5" s="2"/>
      <c r="AS5" s="1">
        <v>1</v>
      </c>
      <c r="AT5" s="1">
        <v>1</v>
      </c>
      <c r="AU5" s="1">
        <v>1</v>
      </c>
      <c r="AV5" s="1">
        <v>1</v>
      </c>
      <c r="AW5" s="1">
        <v>1</v>
      </c>
    </row>
    <row r="6" spans="1:51" ht="30" customHeight="1" x14ac:dyDescent="0.3">
      <c r="A6" s="1" t="s">
        <v>3</v>
      </c>
      <c r="B6" s="2">
        <v>7</v>
      </c>
      <c r="C6" s="2">
        <v>6</v>
      </c>
      <c r="D6" s="2">
        <v>4</v>
      </c>
      <c r="E6" s="2">
        <v>4</v>
      </c>
      <c r="F6" s="2">
        <v>7</v>
      </c>
      <c r="G6" s="1">
        <v>300</v>
      </c>
      <c r="J6" s="1" t="s">
        <v>3</v>
      </c>
      <c r="K6" s="2"/>
      <c r="L6" s="2"/>
      <c r="M6" s="2"/>
      <c r="N6" s="2">
        <v>176</v>
      </c>
      <c r="O6" s="2">
        <v>124</v>
      </c>
      <c r="P6" s="1">
        <f t="shared" si="0"/>
        <v>300</v>
      </c>
      <c r="T6" s="1" t="s">
        <v>3</v>
      </c>
      <c r="U6" s="2"/>
      <c r="V6" s="2"/>
      <c r="W6" s="2">
        <v>10</v>
      </c>
      <c r="X6" s="2">
        <v>290</v>
      </c>
      <c r="Y6" s="2"/>
      <c r="Z6" s="1">
        <f t="shared" si="1"/>
        <v>300</v>
      </c>
      <c r="AD6" s="1" t="s">
        <v>3</v>
      </c>
      <c r="AE6" s="2"/>
      <c r="AF6" s="2"/>
      <c r="AG6" s="2">
        <v>10</v>
      </c>
      <c r="AH6" s="2">
        <v>290</v>
      </c>
      <c r="AI6" s="2"/>
      <c r="AJ6" s="1">
        <f t="shared" si="2"/>
        <v>300</v>
      </c>
      <c r="AN6" s="2"/>
      <c r="AO6" s="2"/>
      <c r="AP6" s="2"/>
      <c r="AQ6" s="2"/>
      <c r="AR6" s="2"/>
      <c r="AS6" s="1">
        <v>0</v>
      </c>
      <c r="AT6" s="1">
        <v>0</v>
      </c>
      <c r="AU6" s="1">
        <v>0</v>
      </c>
      <c r="AV6" s="1">
        <v>3</v>
      </c>
    </row>
    <row r="7" spans="1:51" ht="30" customHeight="1" x14ac:dyDescent="0.3">
      <c r="A7" s="1" t="s">
        <v>4</v>
      </c>
      <c r="B7" s="2">
        <v>6</v>
      </c>
      <c r="C7" s="2">
        <v>5</v>
      </c>
      <c r="D7" s="2">
        <v>6</v>
      </c>
      <c r="E7" s="2">
        <v>7</v>
      </c>
      <c r="F7" s="2">
        <v>6</v>
      </c>
      <c r="G7" s="1">
        <v>250</v>
      </c>
      <c r="J7" s="1" t="s">
        <v>4</v>
      </c>
      <c r="K7" s="2"/>
      <c r="L7" s="2"/>
      <c r="M7" s="2"/>
      <c r="N7" s="2"/>
      <c r="O7" s="2">
        <v>250</v>
      </c>
      <c r="P7" s="1">
        <f t="shared" si="0"/>
        <v>250</v>
      </c>
      <c r="T7" s="1" t="s">
        <v>4</v>
      </c>
      <c r="U7" s="2"/>
      <c r="V7" s="2"/>
      <c r="W7" s="2">
        <v>250</v>
      </c>
      <c r="X7" s="2"/>
      <c r="Y7" s="2"/>
      <c r="Z7" s="1">
        <f t="shared" si="1"/>
        <v>250</v>
      </c>
      <c r="AD7" s="1" t="s">
        <v>4</v>
      </c>
      <c r="AE7" s="2"/>
      <c r="AF7" s="2"/>
      <c r="AG7" s="2">
        <v>250</v>
      </c>
      <c r="AH7" s="2"/>
      <c r="AI7" s="2"/>
      <c r="AJ7" s="1">
        <f t="shared" si="2"/>
        <v>250</v>
      </c>
      <c r="AN7" s="2"/>
      <c r="AO7" s="2"/>
      <c r="AP7" s="2">
        <v>6</v>
      </c>
      <c r="AQ7" s="2"/>
      <c r="AR7" s="2"/>
      <c r="AS7" s="1">
        <v>1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</row>
    <row r="8" spans="1:51" ht="30" customHeight="1" x14ac:dyDescent="0.3">
      <c r="A8" s="1" t="s">
        <v>10</v>
      </c>
      <c r="B8" s="1" cm="1">
        <f t="array" ref="B8:F8">B18:F18+$G$18/5</f>
        <v>242</v>
      </c>
      <c r="C8" s="1">
        <v>266</v>
      </c>
      <c r="D8" s="1">
        <v>278</v>
      </c>
      <c r="E8" s="1">
        <v>290</v>
      </c>
      <c r="F8" s="1">
        <v>374</v>
      </c>
      <c r="G8" s="13">
        <f>SUM(G3:G7)-SUM(B8:F8)</f>
        <v>0</v>
      </c>
      <c r="J8" s="1" t="s">
        <v>10</v>
      </c>
      <c r="K8" s="1">
        <f>SUM(K3:K7)</f>
        <v>242</v>
      </c>
      <c r="L8" s="1">
        <f t="shared" ref="L8:O8" si="3">SUM(L3:L7)</f>
        <v>266</v>
      </c>
      <c r="M8" s="1">
        <f t="shared" si="3"/>
        <v>278</v>
      </c>
      <c r="N8" s="1">
        <f t="shared" si="3"/>
        <v>290</v>
      </c>
      <c r="O8" s="1">
        <f t="shared" si="3"/>
        <v>374</v>
      </c>
      <c r="T8" s="1" t="s">
        <v>10</v>
      </c>
      <c r="U8" s="1">
        <f>SUM(U3:U7)</f>
        <v>242</v>
      </c>
      <c r="V8" s="1">
        <f t="shared" ref="V8:Y8" si="4">SUM(V3:V7)</f>
        <v>266</v>
      </c>
      <c r="W8" s="1">
        <f t="shared" si="4"/>
        <v>278</v>
      </c>
      <c r="X8" s="1">
        <f t="shared" si="4"/>
        <v>290</v>
      </c>
      <c r="Y8" s="1">
        <f t="shared" si="4"/>
        <v>374</v>
      </c>
      <c r="AD8" s="1" t="s">
        <v>10</v>
      </c>
      <c r="AE8" s="1">
        <f>SUM(AE3:AE7)</f>
        <v>242</v>
      </c>
      <c r="AF8" s="1">
        <f t="shared" ref="AF8:AI8" si="5">SUM(AF3:AF7)</f>
        <v>266</v>
      </c>
      <c r="AG8" s="1">
        <f t="shared" si="5"/>
        <v>278</v>
      </c>
      <c r="AH8" s="1">
        <f t="shared" si="5"/>
        <v>290</v>
      </c>
      <c r="AI8" s="1">
        <f t="shared" si="5"/>
        <v>374</v>
      </c>
      <c r="AM8" s="1" t="s">
        <v>16</v>
      </c>
      <c r="AN8" s="1">
        <v>1</v>
      </c>
      <c r="AO8" s="1">
        <v>2</v>
      </c>
      <c r="AP8" s="1">
        <v>2</v>
      </c>
      <c r="AQ8" s="1">
        <v>1</v>
      </c>
      <c r="AR8" s="1">
        <v>0</v>
      </c>
    </row>
    <row r="9" spans="1:51" ht="30" customHeight="1" x14ac:dyDescent="0.3">
      <c r="AN9" s="1">
        <v>1</v>
      </c>
      <c r="AP9" s="1">
        <v>2</v>
      </c>
      <c r="AQ9" s="1">
        <v>1</v>
      </c>
      <c r="AR9" s="1">
        <v>0</v>
      </c>
    </row>
    <row r="10" spans="1:51" ht="30" customHeight="1" x14ac:dyDescent="0.3">
      <c r="AN10" s="1">
        <v>1</v>
      </c>
      <c r="AP10" s="1">
        <v>2</v>
      </c>
      <c r="AQ10" s="1">
        <v>2</v>
      </c>
      <c r="AR10" s="1">
        <v>0</v>
      </c>
    </row>
    <row r="11" spans="1:51" ht="30" customHeight="1" x14ac:dyDescent="0.3">
      <c r="A11" s="6" t="s">
        <v>12</v>
      </c>
      <c r="B11" s="6"/>
      <c r="C11" s="6"/>
      <c r="D11" s="6"/>
      <c r="E11" s="6"/>
      <c r="F11" s="6"/>
      <c r="G11" s="6"/>
      <c r="AN11" s="1">
        <v>1</v>
      </c>
      <c r="AP11" s="1">
        <v>2</v>
      </c>
      <c r="AR11" s="1">
        <v>0</v>
      </c>
    </row>
    <row r="12" spans="1:51" ht="30" customHeight="1" x14ac:dyDescent="0.3">
      <c r="B12" s="1" t="s">
        <v>5</v>
      </c>
      <c r="C12" s="1" t="s">
        <v>6</v>
      </c>
      <c r="D12" s="1" t="s">
        <v>7</v>
      </c>
      <c r="E12" s="1" t="s">
        <v>8</v>
      </c>
      <c r="F12" s="1" t="s">
        <v>9</v>
      </c>
      <c r="G12" s="1" t="s">
        <v>11</v>
      </c>
      <c r="AN12" s="1">
        <v>1</v>
      </c>
      <c r="AP12" s="1">
        <v>1</v>
      </c>
      <c r="AR12" s="1">
        <v>0</v>
      </c>
    </row>
    <row r="13" spans="1:51" ht="30" customHeight="1" x14ac:dyDescent="0.3">
      <c r="A13" s="1" t="s">
        <v>0</v>
      </c>
      <c r="B13" s="2">
        <v>4</v>
      </c>
      <c r="C13" s="2">
        <v>5</v>
      </c>
      <c r="D13" s="2">
        <v>6</v>
      </c>
      <c r="E13" s="2">
        <v>6</v>
      </c>
      <c r="F13" s="2">
        <v>4</v>
      </c>
      <c r="G13" s="1">
        <v>250</v>
      </c>
      <c r="AN13" s="1">
        <v>2</v>
      </c>
      <c r="AP13" s="1">
        <v>0</v>
      </c>
      <c r="AR13" s="1">
        <v>2</v>
      </c>
    </row>
    <row r="14" spans="1:51" ht="30" customHeight="1" x14ac:dyDescent="0.3">
      <c r="A14" s="1" t="s">
        <v>1</v>
      </c>
      <c r="B14" s="2">
        <v>3</v>
      </c>
      <c r="C14" s="2">
        <v>3</v>
      </c>
      <c r="D14" s="2">
        <v>6</v>
      </c>
      <c r="E14" s="2">
        <v>5</v>
      </c>
      <c r="F14" s="2">
        <v>7</v>
      </c>
      <c r="G14" s="1">
        <v>300</v>
      </c>
      <c r="AP14" s="1">
        <v>0</v>
      </c>
      <c r="AR14" s="1">
        <v>2</v>
      </c>
    </row>
    <row r="15" spans="1:51" ht="30" customHeight="1" x14ac:dyDescent="0.3">
      <c r="A15" s="1" t="s">
        <v>2</v>
      </c>
      <c r="B15" s="2">
        <v>5</v>
      </c>
      <c r="C15" s="2">
        <v>6</v>
      </c>
      <c r="D15" s="2">
        <v>7</v>
      </c>
      <c r="E15" s="2">
        <v>7</v>
      </c>
      <c r="F15" s="2">
        <v>4</v>
      </c>
      <c r="G15" s="1">
        <v>350</v>
      </c>
    </row>
    <row r="16" spans="1:51" ht="30" customHeight="1" x14ac:dyDescent="0.3">
      <c r="A16" s="1" t="s">
        <v>3</v>
      </c>
      <c r="B16" s="2">
        <v>7</v>
      </c>
      <c r="C16" s="2">
        <v>6</v>
      </c>
      <c r="D16" s="2">
        <v>4</v>
      </c>
      <c r="E16" s="2">
        <v>4</v>
      </c>
      <c r="F16" s="2">
        <v>7</v>
      </c>
      <c r="G16" s="1">
        <v>300</v>
      </c>
    </row>
    <row r="17" spans="1:7" ht="30" customHeight="1" x14ac:dyDescent="0.3">
      <c r="A17" s="1" t="s">
        <v>4</v>
      </c>
      <c r="B17" s="2">
        <v>6</v>
      </c>
      <c r="C17" s="2">
        <v>5</v>
      </c>
      <c r="D17" s="2">
        <v>6</v>
      </c>
      <c r="E17" s="2">
        <v>7</v>
      </c>
      <c r="F17" s="2">
        <v>6</v>
      </c>
      <c r="G17" s="1">
        <v>250</v>
      </c>
    </row>
    <row r="18" spans="1:7" ht="30" customHeight="1" x14ac:dyDescent="0.3">
      <c r="A18" s="1" t="s">
        <v>10</v>
      </c>
      <c r="B18" s="1">
        <v>300</v>
      </c>
      <c r="C18" s="1">
        <v>324</v>
      </c>
      <c r="D18" s="1">
        <v>336</v>
      </c>
      <c r="E18" s="1">
        <v>348</v>
      </c>
      <c r="F18" s="1">
        <v>432</v>
      </c>
      <c r="G18" s="13">
        <f>SUM(G13:G17)-SUM(B18:F18)</f>
        <v>-290</v>
      </c>
    </row>
  </sheetData>
  <mergeCells count="5">
    <mergeCell ref="A1:G1"/>
    <mergeCell ref="J1:P1"/>
    <mergeCell ref="T1:Z1"/>
    <mergeCell ref="AD1:AJ1"/>
    <mergeCell ref="A11:G11"/>
  </mergeCells>
  <conditionalFormatting sqref="B3:F7">
    <cfRule type="colorScale" priority="12">
      <colorScale>
        <cfvo type="min"/>
        <cfvo type="max"/>
        <color theme="4" tint="0.79998168889431442"/>
        <color theme="5" tint="0.79998168889431442"/>
      </colorScale>
    </cfRule>
  </conditionalFormatting>
  <conditionalFormatting sqref="K3:O7">
    <cfRule type="colorScale" priority="11">
      <colorScale>
        <cfvo type="min"/>
        <cfvo type="max"/>
        <color theme="4" tint="0.79998168889431442"/>
        <color theme="5" tint="0.79998168889431442"/>
      </colorScale>
    </cfRule>
  </conditionalFormatting>
  <conditionalFormatting sqref="K8:O8">
    <cfRule type="expression" dxfId="27" priority="10">
      <formula>K8=B8</formula>
    </cfRule>
  </conditionalFormatting>
  <conditionalFormatting sqref="P3:P7">
    <cfRule type="expression" dxfId="26" priority="9">
      <formula>P3=G3</formula>
    </cfRule>
  </conditionalFormatting>
  <conditionalFormatting sqref="U8:Y8">
    <cfRule type="expression" dxfId="25" priority="8">
      <formula>U8=B8</formula>
    </cfRule>
  </conditionalFormatting>
  <conditionalFormatting sqref="Z3:Z7">
    <cfRule type="expression" dxfId="24" priority="7">
      <formula>Z3=G3</formula>
    </cfRule>
  </conditionalFormatting>
  <conditionalFormatting sqref="U3:Y7">
    <cfRule type="colorScale" priority="6">
      <colorScale>
        <cfvo type="min"/>
        <cfvo type="max"/>
        <color theme="4" tint="0.79998168889431442"/>
        <color theme="5" tint="0.79998168889431442"/>
      </colorScale>
    </cfRule>
  </conditionalFormatting>
  <conditionalFormatting sqref="AE8:AI8">
    <cfRule type="expression" dxfId="23" priority="5">
      <formula>AE8=B8</formula>
    </cfRule>
  </conditionalFormatting>
  <conditionalFormatting sqref="AJ3:AJ7">
    <cfRule type="expression" dxfId="22" priority="4">
      <formula>AJ3=G3</formula>
    </cfRule>
  </conditionalFormatting>
  <conditionalFormatting sqref="AE3:AI7">
    <cfRule type="colorScale" priority="3">
      <colorScale>
        <cfvo type="min"/>
        <cfvo type="max"/>
        <color theme="4" tint="0.79998168889431442"/>
        <color theme="5" tint="0.79998168889431442"/>
      </colorScale>
    </cfRule>
  </conditionalFormatting>
  <conditionalFormatting sqref="B13:F17">
    <cfRule type="colorScale" priority="2">
      <colorScale>
        <cfvo type="min"/>
        <cfvo type="max"/>
        <color theme="4" tint="0.79998168889431442"/>
        <color theme="5" tint="0.79998168889431442"/>
      </colorScale>
    </cfRule>
  </conditionalFormatting>
  <conditionalFormatting sqref="AN3:AR7">
    <cfRule type="colorScale" priority="1">
      <colorScale>
        <cfvo type="min"/>
        <cfvo type="max"/>
        <color theme="4" tint="0.79998168889431442"/>
        <color theme="5" tint="0.79998168889431442"/>
      </colorScale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98B7C-804B-429B-9C74-A9B2385F431A}">
  <dimension ref="A1:AA53"/>
  <sheetViews>
    <sheetView tabSelected="1" topLeftCell="A46" zoomScale="120" zoomScaleNormal="120" workbookViewId="0">
      <selection activeCell="V53" sqref="V53"/>
    </sheetView>
  </sheetViews>
  <sheetFormatPr defaultColWidth="5.5546875" defaultRowHeight="30" customHeight="1" x14ac:dyDescent="0.3"/>
  <cols>
    <col min="1" max="8" width="5.5546875" style="1"/>
    <col min="9" max="9" width="5.5546875" style="1" customWidth="1"/>
    <col min="10" max="16384" width="5.5546875" style="1"/>
  </cols>
  <sheetData>
    <row r="1" spans="1:27" ht="30" customHeight="1" x14ac:dyDescent="0.3">
      <c r="A1" s="6" t="s">
        <v>12</v>
      </c>
      <c r="B1" s="6"/>
      <c r="C1" s="6"/>
      <c r="D1" s="6"/>
      <c r="E1" s="6"/>
      <c r="F1" s="6"/>
      <c r="G1" s="6"/>
      <c r="J1" s="6" t="s">
        <v>19</v>
      </c>
      <c r="K1" s="6"/>
      <c r="L1" s="6"/>
      <c r="M1" s="6"/>
      <c r="N1" s="6"/>
      <c r="O1" s="6"/>
      <c r="P1" s="6"/>
      <c r="Q1" s="1" cm="1">
        <f t="array" ref="Q1">MAX(IF(ISNUMBER(K3:O7)*$B$3:$F$7, ISNUMBER(K3:O7)*$B$3:$F$7, " "))</f>
        <v>6</v>
      </c>
      <c r="R1" s="1">
        <f>COUNT(K3:O7)</f>
        <v>9</v>
      </c>
    </row>
    <row r="2" spans="1:27" ht="30" customHeight="1" x14ac:dyDescent="0.3"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11</v>
      </c>
      <c r="K2" s="1" t="s">
        <v>5</v>
      </c>
      <c r="L2" s="1" t="s">
        <v>6</v>
      </c>
      <c r="M2" s="1" t="s">
        <v>7</v>
      </c>
      <c r="N2" s="1" t="s">
        <v>8</v>
      </c>
      <c r="O2" s="1" t="s">
        <v>9</v>
      </c>
      <c r="P2" s="1" t="s">
        <v>11</v>
      </c>
    </row>
    <row r="3" spans="1:27" ht="30" customHeight="1" x14ac:dyDescent="0.3">
      <c r="A3" s="1" t="s">
        <v>0</v>
      </c>
      <c r="B3" s="2">
        <v>4</v>
      </c>
      <c r="C3" s="2">
        <v>5</v>
      </c>
      <c r="D3" s="2">
        <v>6</v>
      </c>
      <c r="E3" s="2">
        <v>6</v>
      </c>
      <c r="F3" s="2">
        <v>4</v>
      </c>
      <c r="G3" s="1">
        <v>250</v>
      </c>
      <c r="J3" s="1" t="s">
        <v>0</v>
      </c>
      <c r="K3" s="2">
        <v>208</v>
      </c>
      <c r="L3" s="2"/>
      <c r="M3" s="2">
        <v>18</v>
      </c>
      <c r="N3" s="2"/>
      <c r="O3" s="2">
        <v>24</v>
      </c>
      <c r="P3" s="1">
        <f>SUM(K3:O3)</f>
        <v>250</v>
      </c>
    </row>
    <row r="4" spans="1:27" ht="30" customHeight="1" x14ac:dyDescent="0.3">
      <c r="A4" s="1" t="s">
        <v>1</v>
      </c>
      <c r="B4" s="2">
        <v>3</v>
      </c>
      <c r="C4" s="2">
        <v>3</v>
      </c>
      <c r="D4" s="2">
        <v>6</v>
      </c>
      <c r="E4" s="2">
        <v>5</v>
      </c>
      <c r="F4" s="2">
        <v>7</v>
      </c>
      <c r="G4" s="1">
        <v>300</v>
      </c>
      <c r="J4" s="1" t="s">
        <v>1</v>
      </c>
      <c r="K4" s="2">
        <v>34</v>
      </c>
      <c r="L4" s="2">
        <v>266</v>
      </c>
      <c r="M4" s="2"/>
      <c r="N4" s="2"/>
      <c r="O4" s="2"/>
      <c r="P4" s="1">
        <f t="shared" ref="P4:P7" si="0">SUM(K4:O4)</f>
        <v>300</v>
      </c>
    </row>
    <row r="5" spans="1:27" ht="30" customHeight="1" x14ac:dyDescent="0.3">
      <c r="A5" s="1" t="s">
        <v>2</v>
      </c>
      <c r="B5" s="2">
        <v>5</v>
      </c>
      <c r="C5" s="2">
        <v>6</v>
      </c>
      <c r="D5" s="2">
        <v>7</v>
      </c>
      <c r="E5" s="2">
        <v>7</v>
      </c>
      <c r="F5" s="2">
        <v>4</v>
      </c>
      <c r="G5" s="1">
        <v>350</v>
      </c>
      <c r="J5" s="1" t="s">
        <v>2</v>
      </c>
      <c r="K5" s="2"/>
      <c r="L5" s="2"/>
      <c r="M5" s="2"/>
      <c r="N5" s="2"/>
      <c r="O5" s="2">
        <v>350</v>
      </c>
      <c r="P5" s="1">
        <f t="shared" si="0"/>
        <v>350</v>
      </c>
    </row>
    <row r="6" spans="1:27" ht="30" customHeight="1" x14ac:dyDescent="0.3">
      <c r="A6" s="1" t="s">
        <v>3</v>
      </c>
      <c r="B6" s="2">
        <v>7</v>
      </c>
      <c r="C6" s="2">
        <v>6</v>
      </c>
      <c r="D6" s="2">
        <v>4</v>
      </c>
      <c r="E6" s="2">
        <v>4</v>
      </c>
      <c r="F6" s="2">
        <v>7</v>
      </c>
      <c r="G6" s="1">
        <v>300</v>
      </c>
      <c r="J6" s="1" t="s">
        <v>3</v>
      </c>
      <c r="K6" s="2"/>
      <c r="L6" s="2"/>
      <c r="M6" s="2">
        <v>10</v>
      </c>
      <c r="N6" s="2">
        <v>290</v>
      </c>
      <c r="O6" s="2"/>
      <c r="P6" s="1">
        <f t="shared" si="0"/>
        <v>300</v>
      </c>
    </row>
    <row r="7" spans="1:27" ht="30" customHeight="1" x14ac:dyDescent="0.3">
      <c r="A7" s="1" t="s">
        <v>4</v>
      </c>
      <c r="B7" s="2">
        <v>6</v>
      </c>
      <c r="C7" s="2">
        <v>5</v>
      </c>
      <c r="D7" s="2">
        <v>6</v>
      </c>
      <c r="E7" s="2">
        <v>7</v>
      </c>
      <c r="F7" s="2">
        <v>6</v>
      </c>
      <c r="G7" s="1">
        <v>250</v>
      </c>
      <c r="J7" s="1" t="s">
        <v>4</v>
      </c>
      <c r="K7" s="2"/>
      <c r="L7" s="2"/>
      <c r="M7" s="2">
        <v>250</v>
      </c>
      <c r="N7" s="2"/>
      <c r="O7" s="2"/>
      <c r="P7" s="1">
        <f t="shared" si="0"/>
        <v>250</v>
      </c>
    </row>
    <row r="8" spans="1:27" ht="30" customHeight="1" x14ac:dyDescent="0.3">
      <c r="A8" s="1" t="s">
        <v>10</v>
      </c>
      <c r="B8" s="1">
        <v>242</v>
      </c>
      <c r="C8" s="1">
        <v>266</v>
      </c>
      <c r="D8" s="1">
        <v>278</v>
      </c>
      <c r="E8" s="1">
        <v>290</v>
      </c>
      <c r="F8" s="1">
        <v>374</v>
      </c>
      <c r="G8" s="13">
        <f>SUM(G3:G7)-SUM(B8:F8)</f>
        <v>0</v>
      </c>
      <c r="J8" s="1" t="s">
        <v>10</v>
      </c>
      <c r="K8" s="1">
        <f>SUM(K3:K7)</f>
        <v>242</v>
      </c>
      <c r="L8" s="1">
        <f t="shared" ref="L8:O8" si="1">SUM(L3:L7)</f>
        <v>266</v>
      </c>
      <c r="M8" s="1">
        <f t="shared" si="1"/>
        <v>278</v>
      </c>
      <c r="N8" s="1">
        <f t="shared" si="1"/>
        <v>290</v>
      </c>
      <c r="O8" s="1">
        <f t="shared" si="1"/>
        <v>374</v>
      </c>
    </row>
    <row r="10" spans="1:27" ht="30" customHeight="1" x14ac:dyDescent="0.3">
      <c r="A10" s="6" t="s">
        <v>20</v>
      </c>
      <c r="B10" s="6"/>
      <c r="C10" s="6"/>
      <c r="D10" s="6"/>
      <c r="E10" s="6"/>
      <c r="F10" s="6"/>
      <c r="G10" s="6"/>
      <c r="J10" s="6" t="s">
        <v>20</v>
      </c>
      <c r="K10" s="6"/>
      <c r="L10" s="6"/>
      <c r="M10" s="6"/>
      <c r="N10" s="6"/>
      <c r="O10" s="6"/>
      <c r="P10" s="6"/>
      <c r="Q10" s="1" cm="1">
        <f t="array" ref="Q10">MAX(IF(ISNUMBER(K12:O16)*$B$3:$F$7, ISNUMBER(K12:O16)*$B$3:$F$7, " "))</f>
        <v>6</v>
      </c>
      <c r="S10" s="8"/>
      <c r="T10" s="6" t="s">
        <v>17</v>
      </c>
      <c r="U10" s="6"/>
      <c r="V10" s="6"/>
      <c r="W10" s="6"/>
      <c r="X10" s="6"/>
      <c r="Y10" s="6"/>
      <c r="Z10" s="6"/>
      <c r="AA10" s="1" cm="1">
        <f t="array" ref="AA10">MAX(IF(ISNUMBER(U12:Y16)*$B$3:$F$7, ISNUMBER(U12:Y16)*$B$3:$F$7, " "))</f>
        <v>6</v>
      </c>
    </row>
    <row r="11" spans="1:27" ht="30" customHeight="1" x14ac:dyDescent="0.3">
      <c r="B11" s="1" t="s">
        <v>5</v>
      </c>
      <c r="C11" s="1" t="s">
        <v>6</v>
      </c>
      <c r="D11" s="1" t="s">
        <v>7</v>
      </c>
      <c r="E11" s="1" t="s">
        <v>8</v>
      </c>
      <c r="F11" s="1" t="s">
        <v>9</v>
      </c>
      <c r="K11" s="1" t="s">
        <v>5</v>
      </c>
      <c r="L11" s="1" t="s">
        <v>6</v>
      </c>
      <c r="M11" s="1" t="s">
        <v>7</v>
      </c>
      <c r="N11" s="1" t="s">
        <v>8</v>
      </c>
      <c r="O11" s="1" t="s">
        <v>9</v>
      </c>
      <c r="P11" s="1" t="s">
        <v>11</v>
      </c>
      <c r="U11" s="1" t="s">
        <v>5</v>
      </c>
      <c r="V11" s="1" t="s">
        <v>6</v>
      </c>
      <c r="W11" s="1" t="s">
        <v>7</v>
      </c>
      <c r="X11" s="1" t="s">
        <v>8</v>
      </c>
      <c r="Y11" s="1" t="s">
        <v>9</v>
      </c>
      <c r="Z11" s="1" t="s">
        <v>11</v>
      </c>
    </row>
    <row r="12" spans="1:27" ht="30" customHeight="1" x14ac:dyDescent="0.3">
      <c r="A12" s="1" t="s">
        <v>0</v>
      </c>
      <c r="B12" s="3">
        <v>4</v>
      </c>
      <c r="C12" s="2">
        <v>5</v>
      </c>
      <c r="D12" s="3">
        <v>6</v>
      </c>
      <c r="E12" s="2">
        <v>6</v>
      </c>
      <c r="F12" s="3">
        <v>4</v>
      </c>
      <c r="J12" s="1" t="s">
        <v>0</v>
      </c>
      <c r="K12" s="9">
        <v>208</v>
      </c>
      <c r="L12" s="4"/>
      <c r="M12" s="5">
        <v>18</v>
      </c>
      <c r="N12" s="9"/>
      <c r="O12" s="9">
        <v>24</v>
      </c>
      <c r="P12" s="1">
        <f>SUM(K12:O12)</f>
        <v>250</v>
      </c>
      <c r="T12" s="1" t="s">
        <v>0</v>
      </c>
      <c r="U12" s="2">
        <v>208</v>
      </c>
      <c r="V12" s="2">
        <v>18</v>
      </c>
      <c r="W12" s="2"/>
      <c r="X12" s="2"/>
      <c r="Y12" s="2">
        <v>24</v>
      </c>
      <c r="Z12" s="1">
        <f>SUM(U12:Y12)</f>
        <v>250</v>
      </c>
    </row>
    <row r="13" spans="1:27" ht="30" customHeight="1" x14ac:dyDescent="0.3">
      <c r="A13" s="1" t="s">
        <v>1</v>
      </c>
      <c r="B13" s="3">
        <v>3</v>
      </c>
      <c r="C13" s="3">
        <v>3</v>
      </c>
      <c r="D13" s="2">
        <v>6</v>
      </c>
      <c r="E13" s="2">
        <v>5</v>
      </c>
      <c r="F13" s="14">
        <v>7</v>
      </c>
      <c r="J13" s="1" t="s">
        <v>1</v>
      </c>
      <c r="K13" s="9">
        <v>34</v>
      </c>
      <c r="L13" s="5">
        <v>266</v>
      </c>
      <c r="M13" s="9"/>
      <c r="N13" s="4"/>
      <c r="O13" s="9"/>
      <c r="P13" s="1">
        <f t="shared" ref="P13:P16" si="2">SUM(K13:O13)</f>
        <v>300</v>
      </c>
      <c r="T13" s="1" t="s">
        <v>1</v>
      </c>
      <c r="U13" s="2">
        <v>34</v>
      </c>
      <c r="V13" s="2">
        <v>248</v>
      </c>
      <c r="W13" s="2"/>
      <c r="X13" s="2">
        <v>18</v>
      </c>
      <c r="Y13" s="2"/>
      <c r="Z13" s="1">
        <f t="shared" ref="Z13:Z16" si="3">SUM(U13:Y13)</f>
        <v>300</v>
      </c>
    </row>
    <row r="14" spans="1:27" ht="30" customHeight="1" x14ac:dyDescent="0.3">
      <c r="A14" s="1" t="s">
        <v>2</v>
      </c>
      <c r="B14" s="2">
        <v>5</v>
      </c>
      <c r="C14" s="2">
        <v>6</v>
      </c>
      <c r="D14" s="14">
        <v>7</v>
      </c>
      <c r="E14" s="14">
        <v>7</v>
      </c>
      <c r="F14" s="3">
        <v>4</v>
      </c>
      <c r="J14" s="1" t="s">
        <v>2</v>
      </c>
      <c r="K14" s="9"/>
      <c r="L14" s="9"/>
      <c r="M14" s="9"/>
      <c r="N14" s="9"/>
      <c r="O14" s="9">
        <v>350</v>
      </c>
      <c r="P14" s="1">
        <f t="shared" si="2"/>
        <v>350</v>
      </c>
      <c r="T14" s="1" t="s">
        <v>2</v>
      </c>
      <c r="U14" s="2"/>
      <c r="V14" s="2"/>
      <c r="W14" s="2"/>
      <c r="X14" s="2"/>
      <c r="Y14" s="2">
        <v>350</v>
      </c>
      <c r="Z14" s="1">
        <f t="shared" si="3"/>
        <v>350</v>
      </c>
    </row>
    <row r="15" spans="1:27" ht="30" customHeight="1" x14ac:dyDescent="0.3">
      <c r="A15" s="1" t="s">
        <v>3</v>
      </c>
      <c r="B15" s="14">
        <v>7</v>
      </c>
      <c r="C15" s="2">
        <v>6</v>
      </c>
      <c r="D15" s="3">
        <v>4</v>
      </c>
      <c r="E15" s="3">
        <v>4</v>
      </c>
      <c r="F15" s="14">
        <v>7</v>
      </c>
      <c r="J15" s="1" t="s">
        <v>3</v>
      </c>
      <c r="K15" s="9"/>
      <c r="L15" s="9"/>
      <c r="M15" s="4">
        <v>10</v>
      </c>
      <c r="N15" s="5">
        <v>290</v>
      </c>
      <c r="O15" s="9"/>
      <c r="P15" s="1">
        <f t="shared" si="2"/>
        <v>300</v>
      </c>
      <c r="T15" s="1" t="s">
        <v>3</v>
      </c>
      <c r="U15" s="2"/>
      <c r="V15" s="2"/>
      <c r="W15" s="2">
        <v>28</v>
      </c>
      <c r="X15" s="2">
        <v>272</v>
      </c>
      <c r="Y15" s="2"/>
      <c r="Z15" s="1">
        <f t="shared" si="3"/>
        <v>300</v>
      </c>
    </row>
    <row r="16" spans="1:27" ht="30" customHeight="1" x14ac:dyDescent="0.3">
      <c r="A16" s="1" t="s">
        <v>4</v>
      </c>
      <c r="B16" s="2">
        <v>6</v>
      </c>
      <c r="C16" s="2">
        <v>5</v>
      </c>
      <c r="D16" s="3">
        <v>6</v>
      </c>
      <c r="E16" s="14">
        <v>7</v>
      </c>
      <c r="F16" s="2">
        <v>6</v>
      </c>
      <c r="J16" s="1" t="s">
        <v>4</v>
      </c>
      <c r="K16" s="9"/>
      <c r="L16" s="9"/>
      <c r="M16" s="9">
        <v>250</v>
      </c>
      <c r="N16" s="9"/>
      <c r="O16" s="9"/>
      <c r="P16" s="1">
        <f t="shared" si="2"/>
        <v>250</v>
      </c>
      <c r="T16" s="1" t="s">
        <v>4</v>
      </c>
      <c r="U16" s="2"/>
      <c r="V16" s="2"/>
      <c r="W16" s="2">
        <v>250</v>
      </c>
      <c r="X16" s="2"/>
      <c r="Y16" s="2"/>
      <c r="Z16" s="1">
        <f t="shared" si="3"/>
        <v>250</v>
      </c>
    </row>
    <row r="17" spans="1:27" ht="30" customHeight="1" x14ac:dyDescent="0.3">
      <c r="J17" s="1" t="s">
        <v>10</v>
      </c>
      <c r="K17" s="1">
        <f>SUM(K12:K16)</f>
        <v>242</v>
      </c>
      <c r="L17" s="1">
        <f t="shared" ref="L17:O17" si="4">SUM(L12:L16)</f>
        <v>266</v>
      </c>
      <c r="M17" s="1">
        <f t="shared" si="4"/>
        <v>278</v>
      </c>
      <c r="N17" s="1">
        <f t="shared" si="4"/>
        <v>290</v>
      </c>
      <c r="O17" s="1">
        <f t="shared" si="4"/>
        <v>374</v>
      </c>
      <c r="T17" s="1" t="s">
        <v>10</v>
      </c>
      <c r="U17" s="1">
        <f>SUM(U12:U16)</f>
        <v>242</v>
      </c>
      <c r="V17" s="1">
        <f t="shared" ref="V17:Y17" si="5">SUM(V12:V16)</f>
        <v>266</v>
      </c>
      <c r="W17" s="1">
        <f t="shared" si="5"/>
        <v>278</v>
      </c>
      <c r="X17" s="1">
        <f t="shared" si="5"/>
        <v>290</v>
      </c>
      <c r="Y17" s="1">
        <f t="shared" si="5"/>
        <v>374</v>
      </c>
    </row>
    <row r="19" spans="1:27" ht="30" customHeight="1" x14ac:dyDescent="0.3">
      <c r="A19" s="6" t="s">
        <v>20</v>
      </c>
      <c r="B19" s="6"/>
      <c r="C19" s="6"/>
      <c r="D19" s="6"/>
      <c r="E19" s="6"/>
      <c r="F19" s="6"/>
      <c r="G19" s="6"/>
      <c r="J19" s="6" t="s">
        <v>20</v>
      </c>
      <c r="K19" s="6"/>
      <c r="L19" s="6"/>
      <c r="M19" s="6"/>
      <c r="N19" s="6"/>
      <c r="O19" s="6"/>
      <c r="P19" s="6"/>
      <c r="Q19" s="1" cm="1">
        <f t="array" ref="Q19">MAX(IF(ISNUMBER(K21:O25)*$B$3:$F$7, ISNUMBER(K21:O25)*$B$3:$F$7, " "))</f>
        <v>6</v>
      </c>
      <c r="S19" s="8"/>
      <c r="T19" s="6" t="s">
        <v>17</v>
      </c>
      <c r="U19" s="6"/>
      <c r="V19" s="6"/>
      <c r="W19" s="6"/>
      <c r="X19" s="6"/>
      <c r="Y19" s="6"/>
      <c r="Z19" s="6"/>
      <c r="AA19" s="1" cm="1">
        <f t="array" ref="AA19">MAX(IF(ISNUMBER(U21:Y25)*$B$3:$F$7, ISNUMBER(U21:Y25)*$B$3:$F$7, " "))</f>
        <v>6</v>
      </c>
    </row>
    <row r="20" spans="1:27" ht="30" customHeight="1" x14ac:dyDescent="0.3">
      <c r="B20" s="1" t="s">
        <v>5</v>
      </c>
      <c r="C20" s="1" t="s">
        <v>6</v>
      </c>
      <c r="D20" s="1" t="s">
        <v>7</v>
      </c>
      <c r="E20" s="1" t="s">
        <v>8</v>
      </c>
      <c r="F20" s="1" t="s">
        <v>9</v>
      </c>
      <c r="K20" s="1" t="s">
        <v>5</v>
      </c>
      <c r="L20" s="1" t="s">
        <v>6</v>
      </c>
      <c r="M20" s="1" t="s">
        <v>7</v>
      </c>
      <c r="N20" s="1" t="s">
        <v>8</v>
      </c>
      <c r="O20" s="1" t="s">
        <v>9</v>
      </c>
      <c r="P20" s="1" t="s">
        <v>11</v>
      </c>
      <c r="U20" s="1" t="s">
        <v>5</v>
      </c>
      <c r="V20" s="1" t="s">
        <v>6</v>
      </c>
      <c r="W20" s="1" t="s">
        <v>7</v>
      </c>
      <c r="X20" s="1" t="s">
        <v>8</v>
      </c>
      <c r="Y20" s="1" t="s">
        <v>9</v>
      </c>
      <c r="Z20" s="1" t="s">
        <v>11</v>
      </c>
    </row>
    <row r="21" spans="1:27" ht="30" customHeight="1" x14ac:dyDescent="0.3">
      <c r="A21" s="1" t="s">
        <v>0</v>
      </c>
      <c r="B21" s="3">
        <v>4</v>
      </c>
      <c r="C21" s="3">
        <v>5</v>
      </c>
      <c r="D21" s="10">
        <v>6</v>
      </c>
      <c r="E21" s="10">
        <v>6</v>
      </c>
      <c r="F21" s="3">
        <v>4</v>
      </c>
      <c r="J21" s="1" t="s">
        <v>0</v>
      </c>
      <c r="K21" s="9">
        <v>208</v>
      </c>
      <c r="L21" s="9">
        <v>18</v>
      </c>
      <c r="M21" s="9"/>
      <c r="N21" s="9"/>
      <c r="O21" s="9">
        <v>24</v>
      </c>
      <c r="P21" s="1">
        <f>SUM(K21:O21)</f>
        <v>250</v>
      </c>
      <c r="T21" s="1" t="s">
        <v>0</v>
      </c>
      <c r="U21" s="2">
        <v>208</v>
      </c>
      <c r="V21" s="2">
        <v>18</v>
      </c>
      <c r="W21" s="2"/>
      <c r="X21" s="2"/>
      <c r="Y21" s="2">
        <v>24</v>
      </c>
      <c r="Z21" s="1">
        <f>SUM(U21:Y21)</f>
        <v>250</v>
      </c>
    </row>
    <row r="22" spans="1:27" ht="30" customHeight="1" x14ac:dyDescent="0.3">
      <c r="A22" s="1" t="s">
        <v>1</v>
      </c>
      <c r="B22" s="3">
        <v>3</v>
      </c>
      <c r="C22" s="3">
        <v>3</v>
      </c>
      <c r="D22" s="10">
        <v>6</v>
      </c>
      <c r="E22" s="3">
        <v>5</v>
      </c>
      <c r="F22" s="11">
        <v>7</v>
      </c>
      <c r="J22" s="1" t="s">
        <v>1</v>
      </c>
      <c r="K22" s="9">
        <v>34</v>
      </c>
      <c r="L22" s="5">
        <v>248</v>
      </c>
      <c r="M22" s="9"/>
      <c r="N22" s="4">
        <v>18</v>
      </c>
      <c r="O22" s="9"/>
      <c r="P22" s="1">
        <f t="shared" ref="P22:P25" si="6">SUM(K22:O22)</f>
        <v>300</v>
      </c>
      <c r="T22" s="1" t="s">
        <v>1</v>
      </c>
      <c r="U22" s="2">
        <v>34</v>
      </c>
      <c r="V22" s="2"/>
      <c r="W22" s="2"/>
      <c r="X22" s="2">
        <v>266</v>
      </c>
      <c r="Y22" s="2"/>
      <c r="Z22" s="1">
        <f t="shared" ref="Z22:Z25" si="7">SUM(U22:Y22)</f>
        <v>300</v>
      </c>
    </row>
    <row r="23" spans="1:27" ht="30" customHeight="1" x14ac:dyDescent="0.3">
      <c r="A23" s="1" t="s">
        <v>2</v>
      </c>
      <c r="B23" s="10">
        <v>5</v>
      </c>
      <c r="C23" s="10">
        <v>6</v>
      </c>
      <c r="D23" s="11">
        <v>7</v>
      </c>
      <c r="E23" s="11">
        <v>7</v>
      </c>
      <c r="F23" s="3">
        <v>4</v>
      </c>
      <c r="J23" s="1" t="s">
        <v>2</v>
      </c>
      <c r="K23" s="9"/>
      <c r="L23" s="9"/>
      <c r="M23" s="9"/>
      <c r="N23" s="9"/>
      <c r="O23" s="9">
        <v>350</v>
      </c>
      <c r="P23" s="1">
        <f t="shared" si="6"/>
        <v>350</v>
      </c>
      <c r="T23" s="1" t="s">
        <v>2</v>
      </c>
      <c r="U23" s="2"/>
      <c r="V23" s="2"/>
      <c r="W23" s="2"/>
      <c r="X23" s="2"/>
      <c r="Y23" s="2">
        <v>350</v>
      </c>
      <c r="Z23" s="1">
        <f t="shared" si="7"/>
        <v>350</v>
      </c>
    </row>
    <row r="24" spans="1:27" ht="30" customHeight="1" x14ac:dyDescent="0.3">
      <c r="A24" s="1" t="s">
        <v>3</v>
      </c>
      <c r="B24" s="11">
        <v>7</v>
      </c>
      <c r="C24" s="10">
        <v>6</v>
      </c>
      <c r="D24" s="3">
        <v>4</v>
      </c>
      <c r="E24" s="3">
        <v>4</v>
      </c>
      <c r="F24" s="11">
        <v>7</v>
      </c>
      <c r="J24" s="1" t="s">
        <v>3</v>
      </c>
      <c r="K24" s="9"/>
      <c r="L24" s="9"/>
      <c r="M24" s="4">
        <v>28</v>
      </c>
      <c r="N24" s="5">
        <v>272</v>
      </c>
      <c r="O24" s="9"/>
      <c r="P24" s="1">
        <f t="shared" si="6"/>
        <v>300</v>
      </c>
      <c r="T24" s="1" t="s">
        <v>3</v>
      </c>
      <c r="U24" s="2"/>
      <c r="V24" s="2"/>
      <c r="W24" s="2">
        <v>276</v>
      </c>
      <c r="X24" s="2">
        <v>24</v>
      </c>
      <c r="Y24" s="2"/>
      <c r="Z24" s="1">
        <f t="shared" si="7"/>
        <v>300</v>
      </c>
    </row>
    <row r="25" spans="1:27" ht="30" customHeight="1" x14ac:dyDescent="0.3">
      <c r="A25" s="1" t="s">
        <v>4</v>
      </c>
      <c r="B25" s="10">
        <v>6</v>
      </c>
      <c r="C25" s="10">
        <v>5</v>
      </c>
      <c r="D25" s="3">
        <v>6</v>
      </c>
      <c r="E25" s="11">
        <v>7</v>
      </c>
      <c r="F25" s="10">
        <v>6</v>
      </c>
      <c r="J25" s="1" t="s">
        <v>4</v>
      </c>
      <c r="K25" s="9"/>
      <c r="L25" s="4"/>
      <c r="M25" s="5">
        <v>250</v>
      </c>
      <c r="N25" s="9"/>
      <c r="O25" s="9"/>
      <c r="P25" s="1">
        <f t="shared" si="6"/>
        <v>250</v>
      </c>
      <c r="T25" s="1" t="s">
        <v>4</v>
      </c>
      <c r="U25" s="2"/>
      <c r="V25" s="2">
        <v>248</v>
      </c>
      <c r="W25" s="2">
        <v>2</v>
      </c>
      <c r="X25" s="2"/>
      <c r="Y25" s="2"/>
      <c r="Z25" s="1">
        <f t="shared" si="7"/>
        <v>250</v>
      </c>
    </row>
    <row r="26" spans="1:27" ht="30" customHeight="1" x14ac:dyDescent="0.3">
      <c r="J26" s="1" t="s">
        <v>10</v>
      </c>
      <c r="K26" s="1">
        <f>SUM(K21:K25)</f>
        <v>242</v>
      </c>
      <c r="L26" s="1">
        <f t="shared" ref="L26:O26" si="8">SUM(L21:L25)</f>
        <v>266</v>
      </c>
      <c r="M26" s="1">
        <f t="shared" si="8"/>
        <v>278</v>
      </c>
      <c r="N26" s="1">
        <f t="shared" si="8"/>
        <v>290</v>
      </c>
      <c r="O26" s="1">
        <f t="shared" si="8"/>
        <v>374</v>
      </c>
      <c r="T26" s="1" t="s">
        <v>10</v>
      </c>
      <c r="U26" s="1">
        <f>SUM(U21:U25)</f>
        <v>242</v>
      </c>
      <c r="V26" s="1">
        <f t="shared" ref="V26:Y26" si="9">SUM(V21:V25)</f>
        <v>266</v>
      </c>
      <c r="W26" s="1">
        <f t="shared" si="9"/>
        <v>278</v>
      </c>
      <c r="X26" s="1">
        <f t="shared" si="9"/>
        <v>290</v>
      </c>
      <c r="Y26" s="1">
        <f t="shared" si="9"/>
        <v>374</v>
      </c>
    </row>
    <row r="28" spans="1:27" ht="30" customHeight="1" x14ac:dyDescent="0.3">
      <c r="A28" s="6" t="s">
        <v>20</v>
      </c>
      <c r="B28" s="6"/>
      <c r="C28" s="6"/>
      <c r="D28" s="6"/>
      <c r="E28" s="6"/>
      <c r="F28" s="6"/>
      <c r="G28" s="6"/>
      <c r="J28" s="6" t="s">
        <v>20</v>
      </c>
      <c r="K28" s="6"/>
      <c r="L28" s="6"/>
      <c r="M28" s="6"/>
      <c r="N28" s="6"/>
      <c r="O28" s="6"/>
      <c r="P28" s="6"/>
      <c r="Q28" s="1" cm="1">
        <f t="array" ref="Q28">MAX(IF(ISNUMBER(K30:O34)*$B$3:$F$7, ISNUMBER(K30:O34)*$B$3:$F$7, " "))</f>
        <v>6</v>
      </c>
      <c r="S28" s="8"/>
      <c r="T28" s="6" t="s">
        <v>17</v>
      </c>
      <c r="U28" s="6"/>
      <c r="V28" s="6"/>
      <c r="W28" s="6"/>
      <c r="X28" s="6"/>
      <c r="Y28" s="6"/>
      <c r="Z28" s="6"/>
      <c r="AA28" s="1" cm="1">
        <f t="array" ref="AA28">MAX(IF(ISNUMBER(U30:Y34)*$B$3:$F$7, ISNUMBER(U30:Y34)*$B$3:$F$7, " "))</f>
        <v>5</v>
      </c>
    </row>
    <row r="29" spans="1:27" ht="30" customHeight="1" x14ac:dyDescent="0.3">
      <c r="B29" s="1" t="s">
        <v>5</v>
      </c>
      <c r="C29" s="1" t="s">
        <v>6</v>
      </c>
      <c r="D29" s="1" t="s">
        <v>7</v>
      </c>
      <c r="E29" s="1" t="s">
        <v>8</v>
      </c>
      <c r="F29" s="1" t="s">
        <v>9</v>
      </c>
      <c r="K29" s="1" t="s">
        <v>5</v>
      </c>
      <c r="L29" s="1" t="s">
        <v>6</v>
      </c>
      <c r="M29" s="1" t="s">
        <v>7</v>
      </c>
      <c r="N29" s="1" t="s">
        <v>8</v>
      </c>
      <c r="O29" s="1" t="s">
        <v>9</v>
      </c>
      <c r="P29" s="1" t="s">
        <v>11</v>
      </c>
      <c r="U29" s="1" t="s">
        <v>5</v>
      </c>
      <c r="V29" s="1" t="s">
        <v>6</v>
      </c>
      <c r="W29" s="1" t="s">
        <v>7</v>
      </c>
      <c r="X29" s="1" t="s">
        <v>8</v>
      </c>
      <c r="Y29" s="1" t="s">
        <v>9</v>
      </c>
      <c r="Z29" s="1" t="s">
        <v>11</v>
      </c>
    </row>
    <row r="30" spans="1:27" ht="30" customHeight="1" x14ac:dyDescent="0.3">
      <c r="A30" s="1" t="s">
        <v>0</v>
      </c>
      <c r="B30" s="3">
        <v>4</v>
      </c>
      <c r="C30" s="3">
        <v>5</v>
      </c>
      <c r="D30" s="10">
        <v>6</v>
      </c>
      <c r="E30" s="10">
        <v>6</v>
      </c>
      <c r="F30" s="3">
        <v>4</v>
      </c>
      <c r="J30" s="1" t="s">
        <v>0</v>
      </c>
      <c r="K30" s="9">
        <v>208</v>
      </c>
      <c r="L30" s="5">
        <v>18</v>
      </c>
      <c r="M30" s="9"/>
      <c r="N30" s="9"/>
      <c r="O30" s="4">
        <v>24</v>
      </c>
      <c r="P30" s="1">
        <f>SUM(K30:O30)</f>
        <v>250</v>
      </c>
      <c r="T30" s="1" t="s">
        <v>0</v>
      </c>
      <c r="U30" s="2">
        <v>208</v>
      </c>
      <c r="V30" s="2">
        <v>16</v>
      </c>
      <c r="W30" s="2"/>
      <c r="X30" s="2"/>
      <c r="Y30" s="2">
        <v>26</v>
      </c>
      <c r="Z30" s="1">
        <f>SUM(U30:Y30)</f>
        <v>250</v>
      </c>
    </row>
    <row r="31" spans="1:27" ht="30" customHeight="1" x14ac:dyDescent="0.3">
      <c r="A31" s="1" t="s">
        <v>1</v>
      </c>
      <c r="B31" s="3">
        <v>3</v>
      </c>
      <c r="C31" s="10">
        <v>3</v>
      </c>
      <c r="D31" s="10">
        <v>6</v>
      </c>
      <c r="E31" s="3">
        <v>5</v>
      </c>
      <c r="F31" s="11">
        <v>7</v>
      </c>
      <c r="J31" s="1" t="s">
        <v>1</v>
      </c>
      <c r="K31" s="5">
        <v>34</v>
      </c>
      <c r="L31" s="9"/>
      <c r="M31" s="9"/>
      <c r="N31" s="4">
        <v>266</v>
      </c>
      <c r="O31" s="9"/>
      <c r="P31" s="1">
        <f t="shared" ref="P31:P34" si="10">SUM(K31:O31)</f>
        <v>300</v>
      </c>
      <c r="T31" s="1" t="s">
        <v>1</v>
      </c>
      <c r="U31" s="2">
        <v>32</v>
      </c>
      <c r="V31" s="2"/>
      <c r="W31" s="2"/>
      <c r="X31" s="2">
        <v>268</v>
      </c>
      <c r="Y31" s="2"/>
      <c r="Z31" s="1">
        <f t="shared" ref="Z31:Z34" si="11">SUM(U31:Y31)</f>
        <v>300</v>
      </c>
    </row>
    <row r="32" spans="1:27" ht="30" customHeight="1" x14ac:dyDescent="0.3">
      <c r="A32" s="1" t="s">
        <v>2</v>
      </c>
      <c r="B32" s="10">
        <v>5</v>
      </c>
      <c r="C32" s="10">
        <v>6</v>
      </c>
      <c r="D32" s="11">
        <v>7</v>
      </c>
      <c r="E32" s="11">
        <v>7</v>
      </c>
      <c r="F32" s="3">
        <v>4</v>
      </c>
      <c r="J32" s="1" t="s">
        <v>2</v>
      </c>
      <c r="K32" s="9"/>
      <c r="L32" s="9"/>
      <c r="M32" s="9"/>
      <c r="N32" s="9"/>
      <c r="O32" s="5">
        <v>350</v>
      </c>
      <c r="P32" s="1">
        <f t="shared" si="10"/>
        <v>350</v>
      </c>
      <c r="T32" s="1" t="s">
        <v>2</v>
      </c>
      <c r="U32" s="2">
        <v>2</v>
      </c>
      <c r="V32" s="2"/>
      <c r="W32" s="2"/>
      <c r="X32" s="2"/>
      <c r="Y32" s="2">
        <v>348</v>
      </c>
      <c r="Z32" s="1">
        <f t="shared" si="11"/>
        <v>350</v>
      </c>
    </row>
    <row r="33" spans="1:27" ht="30" customHeight="1" x14ac:dyDescent="0.3">
      <c r="A33" s="1" t="s">
        <v>3</v>
      </c>
      <c r="B33" s="11">
        <v>7</v>
      </c>
      <c r="C33" s="10">
        <v>6</v>
      </c>
      <c r="D33" s="3">
        <v>4</v>
      </c>
      <c r="E33" s="3">
        <v>4</v>
      </c>
      <c r="F33" s="11">
        <v>7</v>
      </c>
      <c r="J33" s="1" t="s">
        <v>3</v>
      </c>
      <c r="K33" s="9"/>
      <c r="L33" s="9"/>
      <c r="M33" s="4">
        <v>276</v>
      </c>
      <c r="N33" s="5">
        <v>24</v>
      </c>
      <c r="O33" s="9"/>
      <c r="P33" s="1">
        <f t="shared" si="10"/>
        <v>300</v>
      </c>
      <c r="T33" s="1" t="s">
        <v>3</v>
      </c>
      <c r="U33" s="2"/>
      <c r="V33" s="2"/>
      <c r="W33" s="2">
        <v>278</v>
      </c>
      <c r="X33" s="2">
        <v>22</v>
      </c>
      <c r="Y33" s="2"/>
      <c r="Z33" s="1">
        <f t="shared" si="11"/>
        <v>300</v>
      </c>
    </row>
    <row r="34" spans="1:27" ht="30" customHeight="1" x14ac:dyDescent="0.3">
      <c r="A34" s="1" t="s">
        <v>4</v>
      </c>
      <c r="B34" s="10">
        <v>6</v>
      </c>
      <c r="C34" s="3">
        <v>5</v>
      </c>
      <c r="D34" s="3">
        <v>6</v>
      </c>
      <c r="E34" s="11">
        <v>7</v>
      </c>
      <c r="F34" s="10">
        <v>6</v>
      </c>
      <c r="J34" s="1" t="s">
        <v>4</v>
      </c>
      <c r="K34" s="9"/>
      <c r="L34" s="4">
        <v>248</v>
      </c>
      <c r="M34" s="5">
        <v>2</v>
      </c>
      <c r="N34" s="9"/>
      <c r="O34" s="9"/>
      <c r="P34" s="1">
        <f t="shared" si="10"/>
        <v>250</v>
      </c>
      <c r="T34" s="1" t="s">
        <v>4</v>
      </c>
      <c r="U34" s="2"/>
      <c r="V34" s="2">
        <v>250</v>
      </c>
      <c r="W34" s="2"/>
      <c r="X34" s="2"/>
      <c r="Y34" s="2"/>
      <c r="Z34" s="1">
        <f t="shared" si="11"/>
        <v>250</v>
      </c>
    </row>
    <row r="35" spans="1:27" ht="30" customHeight="1" x14ac:dyDescent="0.3">
      <c r="J35" s="1" t="s">
        <v>10</v>
      </c>
      <c r="K35" s="1">
        <f>SUM(K30:K34)</f>
        <v>242</v>
      </c>
      <c r="L35" s="1">
        <f t="shared" ref="L35:O35" si="12">SUM(L30:L34)</f>
        <v>266</v>
      </c>
      <c r="M35" s="1">
        <f t="shared" si="12"/>
        <v>278</v>
      </c>
      <c r="N35" s="1">
        <f t="shared" si="12"/>
        <v>290</v>
      </c>
      <c r="O35" s="1">
        <f t="shared" si="12"/>
        <v>374</v>
      </c>
      <c r="T35" s="1" t="s">
        <v>10</v>
      </c>
      <c r="U35" s="1">
        <f>SUM(U30:U34)</f>
        <v>242</v>
      </c>
      <c r="V35" s="1">
        <f t="shared" ref="V35:Y35" si="13">SUM(V30:V34)</f>
        <v>266</v>
      </c>
      <c r="W35" s="1">
        <f t="shared" si="13"/>
        <v>278</v>
      </c>
      <c r="X35" s="1">
        <f t="shared" si="13"/>
        <v>290</v>
      </c>
      <c r="Y35" s="1">
        <f t="shared" si="13"/>
        <v>374</v>
      </c>
    </row>
    <row r="37" spans="1:27" ht="30" customHeight="1" x14ac:dyDescent="0.3">
      <c r="A37" s="6" t="s">
        <v>20</v>
      </c>
      <c r="B37" s="6"/>
      <c r="C37" s="6"/>
      <c r="D37" s="6"/>
      <c r="E37" s="6"/>
      <c r="F37" s="6"/>
      <c r="G37" s="6"/>
      <c r="J37" s="6" t="s">
        <v>20</v>
      </c>
      <c r="K37" s="6"/>
      <c r="L37" s="6"/>
      <c r="M37" s="6"/>
      <c r="N37" s="6"/>
      <c r="O37" s="6"/>
      <c r="P37" s="6"/>
      <c r="Q37" s="1" cm="1">
        <f t="array" ref="Q37">MAX(IF(ISNUMBER(K39:O43)*$B$3:$F$7, ISNUMBER(K39:O43)*$B$3:$F$7, " "))</f>
        <v>5</v>
      </c>
      <c r="S37" s="8"/>
      <c r="T37" s="6" t="s">
        <v>17</v>
      </c>
      <c r="U37" s="6"/>
      <c r="V37" s="6"/>
      <c r="W37" s="6"/>
      <c r="X37" s="6"/>
      <c r="Y37" s="6"/>
      <c r="Z37" s="6"/>
      <c r="AA37" s="1" cm="1">
        <f t="array" ref="AA37">MAX(IF(ISNUMBER(U39:Y43)*$B$3:$F$7, ISNUMBER(U39:Y43)*$B$3:$F$7, " "))</f>
        <v>5</v>
      </c>
    </row>
    <row r="38" spans="1:27" ht="30" customHeight="1" x14ac:dyDescent="0.3">
      <c r="B38" s="1" t="s">
        <v>5</v>
      </c>
      <c r="C38" s="1" t="s">
        <v>6</v>
      </c>
      <c r="D38" s="1" t="s">
        <v>7</v>
      </c>
      <c r="E38" s="1" t="s">
        <v>8</v>
      </c>
      <c r="F38" s="1" t="s">
        <v>9</v>
      </c>
      <c r="K38" s="1" t="s">
        <v>5</v>
      </c>
      <c r="L38" s="1" t="s">
        <v>6</v>
      </c>
      <c r="M38" s="1" t="s">
        <v>7</v>
      </c>
      <c r="N38" s="1" t="s">
        <v>8</v>
      </c>
      <c r="O38" s="1" t="s">
        <v>9</v>
      </c>
      <c r="P38" s="1" t="s">
        <v>11</v>
      </c>
      <c r="U38" s="1" t="s">
        <v>5</v>
      </c>
      <c r="V38" s="1" t="s">
        <v>6</v>
      </c>
      <c r="W38" s="1" t="s">
        <v>7</v>
      </c>
      <c r="X38" s="1" t="s">
        <v>8</v>
      </c>
      <c r="Y38" s="1" t="s">
        <v>9</v>
      </c>
      <c r="Z38" s="1" t="s">
        <v>11</v>
      </c>
    </row>
    <row r="39" spans="1:27" ht="30" customHeight="1" x14ac:dyDescent="0.3">
      <c r="A39" s="1" t="s">
        <v>0</v>
      </c>
      <c r="B39" s="3">
        <v>4</v>
      </c>
      <c r="C39" s="3">
        <v>5</v>
      </c>
      <c r="D39" s="11">
        <v>6</v>
      </c>
      <c r="E39" s="11">
        <v>6</v>
      </c>
      <c r="F39" s="3">
        <v>4</v>
      </c>
      <c r="J39" s="1" t="s">
        <v>0</v>
      </c>
      <c r="K39" s="4">
        <v>208</v>
      </c>
      <c r="L39" s="5">
        <v>16</v>
      </c>
      <c r="M39" s="9"/>
      <c r="N39" s="9"/>
      <c r="O39" s="5">
        <v>26</v>
      </c>
      <c r="P39" s="1">
        <f>SUM(K39:O39)</f>
        <v>250</v>
      </c>
      <c r="T39" s="1" t="s">
        <v>0</v>
      </c>
      <c r="U39" s="2">
        <v>226</v>
      </c>
      <c r="V39" s="2"/>
      <c r="W39" s="2"/>
      <c r="X39" s="2"/>
      <c r="Y39" s="2">
        <v>24</v>
      </c>
      <c r="Z39" s="1">
        <f>SUM(U39:Y39)</f>
        <v>250</v>
      </c>
    </row>
    <row r="40" spans="1:27" ht="30" customHeight="1" x14ac:dyDescent="0.3">
      <c r="A40" s="1" t="s">
        <v>1</v>
      </c>
      <c r="B40" s="3">
        <v>3</v>
      </c>
      <c r="C40" s="10">
        <v>3</v>
      </c>
      <c r="D40" s="11">
        <v>6</v>
      </c>
      <c r="E40" s="3">
        <v>5</v>
      </c>
      <c r="F40" s="11">
        <v>7</v>
      </c>
      <c r="J40" s="1" t="s">
        <v>1</v>
      </c>
      <c r="K40" s="5">
        <v>32</v>
      </c>
      <c r="L40" s="4"/>
      <c r="M40" s="9"/>
      <c r="N40" s="9">
        <v>268</v>
      </c>
      <c r="O40" s="9"/>
      <c r="P40" s="1">
        <f t="shared" ref="P40:P43" si="14">SUM(K40:O40)</f>
        <v>300</v>
      </c>
      <c r="T40" s="1" t="s">
        <v>1</v>
      </c>
      <c r="U40" s="2">
        <v>16</v>
      </c>
      <c r="V40" s="2">
        <v>16</v>
      </c>
      <c r="W40" s="2"/>
      <c r="X40" s="2">
        <v>268</v>
      </c>
      <c r="Y40" s="2"/>
      <c r="Z40" s="1">
        <f t="shared" ref="Z40:Z43" si="15">SUM(U40:Y40)</f>
        <v>300</v>
      </c>
    </row>
    <row r="41" spans="1:27" ht="30" customHeight="1" x14ac:dyDescent="0.3">
      <c r="A41" s="1" t="s">
        <v>2</v>
      </c>
      <c r="B41" s="3">
        <v>5</v>
      </c>
      <c r="C41" s="11">
        <v>6</v>
      </c>
      <c r="D41" s="11">
        <v>7</v>
      </c>
      <c r="E41" s="11">
        <v>7</v>
      </c>
      <c r="F41" s="3">
        <v>4</v>
      </c>
      <c r="J41" s="1" t="s">
        <v>2</v>
      </c>
      <c r="K41" s="5">
        <v>2</v>
      </c>
      <c r="L41" s="9"/>
      <c r="M41" s="9"/>
      <c r="N41" s="9"/>
      <c r="O41" s="4">
        <v>348</v>
      </c>
      <c r="P41" s="1">
        <f t="shared" si="14"/>
        <v>350</v>
      </c>
      <c r="T41" s="1" t="s">
        <v>2</v>
      </c>
      <c r="U41" s="2"/>
      <c r="V41" s="2"/>
      <c r="W41" s="2"/>
      <c r="X41" s="2"/>
      <c r="Y41" s="2">
        <v>350</v>
      </c>
      <c r="Z41" s="1">
        <f t="shared" si="15"/>
        <v>350</v>
      </c>
    </row>
    <row r="42" spans="1:27" ht="30" customHeight="1" x14ac:dyDescent="0.3">
      <c r="A42" s="1" t="s">
        <v>3</v>
      </c>
      <c r="B42" s="11">
        <v>7</v>
      </c>
      <c r="C42" s="11">
        <v>6</v>
      </c>
      <c r="D42" s="3">
        <v>4</v>
      </c>
      <c r="E42" s="3">
        <v>4</v>
      </c>
      <c r="F42" s="11">
        <v>7</v>
      </c>
      <c r="J42" s="1" t="s">
        <v>3</v>
      </c>
      <c r="K42" s="9"/>
      <c r="L42" s="9"/>
      <c r="M42" s="9">
        <v>278</v>
      </c>
      <c r="N42" s="9">
        <v>22</v>
      </c>
      <c r="O42" s="9"/>
      <c r="P42" s="1">
        <f t="shared" si="14"/>
        <v>300</v>
      </c>
      <c r="T42" s="1" t="s">
        <v>3</v>
      </c>
      <c r="U42" s="2"/>
      <c r="V42" s="2"/>
      <c r="W42" s="2">
        <v>278</v>
      </c>
      <c r="X42" s="2">
        <v>22</v>
      </c>
      <c r="Y42" s="2"/>
      <c r="Z42" s="1">
        <f t="shared" si="15"/>
        <v>300</v>
      </c>
    </row>
    <row r="43" spans="1:27" ht="30" customHeight="1" x14ac:dyDescent="0.3">
      <c r="A43" s="1" t="s">
        <v>4</v>
      </c>
      <c r="B43" s="11">
        <v>6</v>
      </c>
      <c r="C43" s="12">
        <v>5</v>
      </c>
      <c r="D43" s="11">
        <v>6</v>
      </c>
      <c r="E43" s="11">
        <v>7</v>
      </c>
      <c r="F43" s="11">
        <v>6</v>
      </c>
      <c r="J43" s="1" t="s">
        <v>4</v>
      </c>
      <c r="K43" s="9"/>
      <c r="L43" s="9">
        <v>250</v>
      </c>
      <c r="M43" s="9"/>
      <c r="N43" s="9"/>
      <c r="O43" s="9"/>
      <c r="P43" s="1">
        <f t="shared" si="14"/>
        <v>250</v>
      </c>
      <c r="T43" s="1" t="s">
        <v>4</v>
      </c>
      <c r="U43" s="2"/>
      <c r="V43" s="2">
        <v>250</v>
      </c>
      <c r="W43" s="2"/>
      <c r="X43" s="2"/>
      <c r="Y43" s="2"/>
      <c r="Z43" s="1">
        <f t="shared" si="15"/>
        <v>250</v>
      </c>
    </row>
    <row r="44" spans="1:27" ht="30" customHeight="1" x14ac:dyDescent="0.3">
      <c r="J44" s="1" t="s">
        <v>10</v>
      </c>
      <c r="K44" s="1">
        <f>SUM(K39:K43)</f>
        <v>242</v>
      </c>
      <c r="L44" s="1">
        <f t="shared" ref="L44:O44" si="16">SUM(L39:L43)</f>
        <v>266</v>
      </c>
      <c r="M44" s="1">
        <f t="shared" si="16"/>
        <v>278</v>
      </c>
      <c r="N44" s="1">
        <f t="shared" si="16"/>
        <v>290</v>
      </c>
      <c r="O44" s="1">
        <f t="shared" si="16"/>
        <v>374</v>
      </c>
      <c r="T44" s="1" t="s">
        <v>10</v>
      </c>
      <c r="U44" s="1">
        <f>SUM(U39:U43)</f>
        <v>242</v>
      </c>
      <c r="V44" s="1">
        <f t="shared" ref="V44:Y44" si="17">SUM(V39:V43)</f>
        <v>266</v>
      </c>
      <c r="W44" s="1">
        <f t="shared" si="17"/>
        <v>278</v>
      </c>
      <c r="X44" s="1">
        <f t="shared" si="17"/>
        <v>290</v>
      </c>
      <c r="Y44" s="1">
        <f t="shared" si="17"/>
        <v>374</v>
      </c>
    </row>
    <row r="46" spans="1:27" ht="30" customHeight="1" x14ac:dyDescent="0.3">
      <c r="A46" s="6" t="s">
        <v>20</v>
      </c>
      <c r="B46" s="6"/>
      <c r="C46" s="6"/>
      <c r="D46" s="6"/>
      <c r="E46" s="6"/>
      <c r="F46" s="6"/>
      <c r="G46" s="6"/>
      <c r="J46" s="6" t="s">
        <v>18</v>
      </c>
      <c r="K46" s="6"/>
      <c r="L46" s="6"/>
      <c r="M46" s="6"/>
      <c r="N46" s="6"/>
      <c r="O46" s="6"/>
      <c r="P46" s="6"/>
      <c r="Q46" s="1" cm="1">
        <f t="array" ref="Q46">MAX(IF(ISNUMBER(K48:O52)*$B$3:$F$7, ISNUMBER(K48:O52)*$B$3:$F$7, " "))</f>
        <v>5</v>
      </c>
      <c r="S46" s="8"/>
      <c r="T46" s="8"/>
      <c r="U46" s="8"/>
      <c r="V46" s="8"/>
      <c r="W46" s="8"/>
      <c r="X46" s="8"/>
      <c r="Y46" s="8"/>
      <c r="Z46" s="8"/>
    </row>
    <row r="47" spans="1:27" ht="30" customHeight="1" x14ac:dyDescent="0.3">
      <c r="B47" s="1" t="s">
        <v>5</v>
      </c>
      <c r="C47" s="1" t="s">
        <v>6</v>
      </c>
      <c r="D47" s="1" t="s">
        <v>7</v>
      </c>
      <c r="E47" s="1" t="s">
        <v>8</v>
      </c>
      <c r="F47" s="1" t="s">
        <v>9</v>
      </c>
      <c r="K47" s="1" t="s">
        <v>5</v>
      </c>
      <c r="L47" s="1" t="s">
        <v>6</v>
      </c>
      <c r="M47" s="1" t="s">
        <v>7</v>
      </c>
      <c r="N47" s="1" t="s">
        <v>8</v>
      </c>
      <c r="O47" s="1" t="s">
        <v>9</v>
      </c>
      <c r="P47" s="1" t="s">
        <v>11</v>
      </c>
      <c r="T47" s="8"/>
      <c r="U47" s="8"/>
      <c r="V47" s="8"/>
      <c r="W47" s="8"/>
      <c r="X47" s="8"/>
      <c r="Y47" s="8"/>
      <c r="Z47" s="8"/>
      <c r="AA47" s="8"/>
    </row>
    <row r="48" spans="1:27" ht="30" customHeight="1" x14ac:dyDescent="0.3">
      <c r="A48" s="1" t="s">
        <v>0</v>
      </c>
      <c r="B48" s="3">
        <v>4</v>
      </c>
      <c r="C48" s="10">
        <v>5</v>
      </c>
      <c r="D48" s="11">
        <v>6</v>
      </c>
      <c r="E48" s="11">
        <v>6</v>
      </c>
      <c r="F48" s="3">
        <v>4</v>
      </c>
      <c r="J48" s="1" t="s">
        <v>0</v>
      </c>
      <c r="K48" s="2">
        <v>226</v>
      </c>
      <c r="L48" s="2"/>
      <c r="M48" s="2"/>
      <c r="N48" s="2"/>
      <c r="O48" s="2">
        <v>24</v>
      </c>
      <c r="P48" s="1">
        <f>SUM(K48:O48)</f>
        <v>250</v>
      </c>
      <c r="T48" s="8"/>
      <c r="U48" s="8"/>
      <c r="V48" s="8"/>
      <c r="W48" s="8"/>
      <c r="X48" s="8"/>
      <c r="Y48" s="8"/>
      <c r="Z48" s="8"/>
      <c r="AA48" s="8"/>
    </row>
    <row r="49" spans="1:27" ht="30" customHeight="1" x14ac:dyDescent="0.3">
      <c r="A49" s="1" t="s">
        <v>1</v>
      </c>
      <c r="B49" s="3">
        <v>3</v>
      </c>
      <c r="C49" s="3">
        <v>3</v>
      </c>
      <c r="D49" s="11">
        <v>6</v>
      </c>
      <c r="E49" s="12">
        <v>5</v>
      </c>
      <c r="F49" s="11">
        <v>7</v>
      </c>
      <c r="J49" s="1" t="s">
        <v>1</v>
      </c>
      <c r="K49" s="2">
        <v>16</v>
      </c>
      <c r="L49" s="2">
        <v>16</v>
      </c>
      <c r="M49" s="2"/>
      <c r="N49" s="7">
        <v>268</v>
      </c>
      <c r="O49" s="2"/>
      <c r="P49" s="1">
        <f t="shared" ref="P49:P52" si="18">SUM(K49:O49)</f>
        <v>300</v>
      </c>
      <c r="T49" s="8"/>
      <c r="U49" s="8"/>
      <c r="V49" s="8"/>
      <c r="W49" s="8"/>
      <c r="X49" s="8"/>
      <c r="Y49" s="8"/>
      <c r="Z49" s="8"/>
      <c r="AA49" s="8"/>
    </row>
    <row r="50" spans="1:27" ht="30" customHeight="1" x14ac:dyDescent="0.3">
      <c r="A50" s="1" t="s">
        <v>2</v>
      </c>
      <c r="B50" s="10">
        <v>5</v>
      </c>
      <c r="C50" s="11">
        <v>6</v>
      </c>
      <c r="D50" s="11">
        <v>7</v>
      </c>
      <c r="E50" s="11">
        <v>7</v>
      </c>
      <c r="F50" s="3">
        <v>4</v>
      </c>
      <c r="J50" s="1" t="s">
        <v>2</v>
      </c>
      <c r="K50" s="2"/>
      <c r="L50" s="2"/>
      <c r="M50" s="2"/>
      <c r="N50" s="2"/>
      <c r="O50" s="2">
        <v>350</v>
      </c>
      <c r="P50" s="1">
        <f t="shared" si="18"/>
        <v>350</v>
      </c>
      <c r="T50" s="8"/>
      <c r="U50" s="8"/>
      <c r="V50" s="8"/>
      <c r="W50" s="8"/>
      <c r="X50" s="8"/>
      <c r="Y50" s="8"/>
      <c r="Z50" s="8"/>
      <c r="AA50" s="8"/>
    </row>
    <row r="51" spans="1:27" ht="30" customHeight="1" x14ac:dyDescent="0.3">
      <c r="A51" s="1" t="s">
        <v>3</v>
      </c>
      <c r="B51" s="11">
        <v>7</v>
      </c>
      <c r="C51" s="11">
        <v>6</v>
      </c>
      <c r="D51" s="3">
        <v>4</v>
      </c>
      <c r="E51" s="3">
        <v>4</v>
      </c>
      <c r="F51" s="11">
        <v>7</v>
      </c>
      <c r="J51" s="1" t="s">
        <v>3</v>
      </c>
      <c r="K51" s="2"/>
      <c r="L51" s="2"/>
      <c r="M51" s="2">
        <v>278</v>
      </c>
      <c r="N51" s="2">
        <v>22</v>
      </c>
      <c r="O51" s="2"/>
      <c r="P51" s="1">
        <f t="shared" si="18"/>
        <v>300</v>
      </c>
      <c r="T51" s="8"/>
      <c r="U51" s="8"/>
      <c r="V51" s="8"/>
      <c r="W51" s="8"/>
      <c r="X51" s="8"/>
      <c r="Y51" s="8"/>
      <c r="Z51" s="8"/>
      <c r="AA51" s="8"/>
    </row>
    <row r="52" spans="1:27" ht="30" customHeight="1" x14ac:dyDescent="0.3">
      <c r="A52" s="1" t="s">
        <v>4</v>
      </c>
      <c r="B52" s="11">
        <v>6</v>
      </c>
      <c r="C52" s="12">
        <v>5</v>
      </c>
      <c r="D52" s="11">
        <v>6</v>
      </c>
      <c r="E52" s="11">
        <v>7</v>
      </c>
      <c r="F52" s="11">
        <v>6</v>
      </c>
      <c r="J52" s="1" t="s">
        <v>4</v>
      </c>
      <c r="K52" s="2"/>
      <c r="L52" s="7">
        <v>250</v>
      </c>
      <c r="M52" s="2"/>
      <c r="N52" s="2"/>
      <c r="O52" s="2"/>
      <c r="P52" s="1">
        <f t="shared" si="18"/>
        <v>250</v>
      </c>
      <c r="T52" s="8"/>
      <c r="U52" s="8"/>
      <c r="V52" s="8"/>
      <c r="W52" s="8"/>
      <c r="X52" s="8"/>
      <c r="Y52" s="8"/>
      <c r="Z52" s="8"/>
      <c r="AA52" s="8"/>
    </row>
    <row r="53" spans="1:27" ht="30" customHeight="1" x14ac:dyDescent="0.3">
      <c r="J53" s="1" t="s">
        <v>10</v>
      </c>
      <c r="K53" s="1">
        <f>SUM(K48:K52)</f>
        <v>242</v>
      </c>
      <c r="L53" s="1">
        <f t="shared" ref="L53:O53" si="19">SUM(L48:L52)</f>
        <v>266</v>
      </c>
      <c r="M53" s="1">
        <f t="shared" si="19"/>
        <v>278</v>
      </c>
      <c r="N53" s="1">
        <f t="shared" si="19"/>
        <v>290</v>
      </c>
      <c r="O53" s="1">
        <f t="shared" si="19"/>
        <v>374</v>
      </c>
      <c r="T53" s="8"/>
      <c r="U53" s="8"/>
      <c r="V53" s="8"/>
      <c r="W53" s="8"/>
      <c r="X53" s="8"/>
      <c r="Y53" s="8"/>
      <c r="Z53" s="8"/>
      <c r="AA53" s="8"/>
    </row>
  </sheetData>
  <mergeCells count="16">
    <mergeCell ref="A46:G46"/>
    <mergeCell ref="J46:P46"/>
    <mergeCell ref="A28:G28"/>
    <mergeCell ref="J28:P28"/>
    <mergeCell ref="T28:Z28"/>
    <mergeCell ref="A37:G37"/>
    <mergeCell ref="J37:P37"/>
    <mergeCell ref="T37:Z37"/>
    <mergeCell ref="A1:G1"/>
    <mergeCell ref="J1:P1"/>
    <mergeCell ref="A10:G10"/>
    <mergeCell ref="J10:P10"/>
    <mergeCell ref="T10:Z10"/>
    <mergeCell ref="A19:G19"/>
    <mergeCell ref="J19:P19"/>
    <mergeCell ref="T19:Z19"/>
  </mergeCells>
  <conditionalFormatting sqref="B3:F7">
    <cfRule type="colorScale" priority="65">
      <colorScale>
        <cfvo type="min"/>
        <cfvo type="max"/>
        <color theme="4" tint="0.79998168889431442"/>
        <color theme="5" tint="0.79998168889431442"/>
      </colorScale>
    </cfRule>
  </conditionalFormatting>
  <conditionalFormatting sqref="K8:O8">
    <cfRule type="expression" dxfId="21" priority="64">
      <formula>K8=B8</formula>
    </cfRule>
  </conditionalFormatting>
  <conditionalFormatting sqref="P3:P7">
    <cfRule type="expression" dxfId="20" priority="63">
      <formula>P3=G3</formula>
    </cfRule>
  </conditionalFormatting>
  <conditionalFormatting sqref="K17:O17">
    <cfRule type="expression" dxfId="19" priority="60">
      <formula>K17=K8</formula>
    </cfRule>
  </conditionalFormatting>
  <conditionalFormatting sqref="P12:P16">
    <cfRule type="expression" dxfId="18" priority="59">
      <formula>P12=P3</formula>
    </cfRule>
  </conditionalFormatting>
  <conditionalFormatting sqref="U17:Y17">
    <cfRule type="expression" dxfId="17" priority="58">
      <formula>U17=K17</formula>
    </cfRule>
  </conditionalFormatting>
  <conditionalFormatting sqref="Z12:Z16">
    <cfRule type="expression" dxfId="16" priority="57">
      <formula>Z12=P12</formula>
    </cfRule>
  </conditionalFormatting>
  <conditionalFormatting sqref="U12:Y16">
    <cfRule type="colorScale" priority="56">
      <colorScale>
        <cfvo type="min"/>
        <cfvo type="max"/>
        <color theme="4" tint="0.79998168889431442"/>
        <color theme="5" tint="0.79998168889431442"/>
      </colorScale>
    </cfRule>
  </conditionalFormatting>
  <conditionalFormatting sqref="K3:O7">
    <cfRule type="colorScale" priority="27">
      <colorScale>
        <cfvo type="min"/>
        <cfvo type="max"/>
        <color theme="4" tint="0.79998168889431442"/>
        <color theme="5" tint="0.79998168889431442"/>
      </colorScale>
    </cfRule>
  </conditionalFormatting>
  <conditionalFormatting sqref="B12:F16">
    <cfRule type="colorScale" priority="26">
      <colorScale>
        <cfvo type="min"/>
        <cfvo type="max"/>
        <color theme="4" tint="0.79998168889431442"/>
        <color theme="5" tint="0.79998168889431442"/>
      </colorScale>
    </cfRule>
  </conditionalFormatting>
  <conditionalFormatting sqref="K26:O26">
    <cfRule type="expression" dxfId="15" priority="25">
      <formula>K26=K17</formula>
    </cfRule>
  </conditionalFormatting>
  <conditionalFormatting sqref="P21:P25">
    <cfRule type="expression" dxfId="14" priority="24">
      <formula>P21=P12</formula>
    </cfRule>
  </conditionalFormatting>
  <conditionalFormatting sqref="U26:Y26">
    <cfRule type="expression" dxfId="13" priority="23">
      <formula>U26=K26</formula>
    </cfRule>
  </conditionalFormatting>
  <conditionalFormatting sqref="Z21:Z25">
    <cfRule type="expression" dxfId="12" priority="22">
      <formula>Z21=P21</formula>
    </cfRule>
  </conditionalFormatting>
  <conditionalFormatting sqref="U21:Y25">
    <cfRule type="colorScale" priority="21">
      <colorScale>
        <cfvo type="min"/>
        <cfvo type="max"/>
        <color theme="4" tint="0.79998168889431442"/>
        <color theme="5" tint="0.79998168889431442"/>
      </colorScale>
    </cfRule>
  </conditionalFormatting>
  <conditionalFormatting sqref="B21:F25">
    <cfRule type="colorScale" priority="20">
      <colorScale>
        <cfvo type="min"/>
        <cfvo type="max"/>
        <color theme="4" tint="0.79998168889431442"/>
        <color theme="5" tint="0.79998168889431442"/>
      </colorScale>
    </cfRule>
  </conditionalFormatting>
  <conditionalFormatting sqref="K35:O35">
    <cfRule type="expression" dxfId="11" priority="19">
      <formula>K35=K26</formula>
    </cfRule>
  </conditionalFormatting>
  <conditionalFormatting sqref="P30:P34">
    <cfRule type="expression" dxfId="10" priority="18">
      <formula>P30=P21</formula>
    </cfRule>
  </conditionalFormatting>
  <conditionalFormatting sqref="U35:Y35">
    <cfRule type="expression" dxfId="9" priority="17">
      <formula>U35=K35</formula>
    </cfRule>
  </conditionalFormatting>
  <conditionalFormatting sqref="Z30:Z34">
    <cfRule type="expression" dxfId="8" priority="16">
      <formula>Z30=P30</formula>
    </cfRule>
  </conditionalFormatting>
  <conditionalFormatting sqref="U30:Y34">
    <cfRule type="colorScale" priority="15">
      <colorScale>
        <cfvo type="min"/>
        <cfvo type="max"/>
        <color theme="4" tint="0.79998168889431442"/>
        <color theme="5" tint="0.79998168889431442"/>
      </colorScale>
    </cfRule>
  </conditionalFormatting>
  <conditionalFormatting sqref="B30:F34">
    <cfRule type="colorScale" priority="14">
      <colorScale>
        <cfvo type="min"/>
        <cfvo type="max"/>
        <color theme="4" tint="0.79998168889431442"/>
        <color theme="5" tint="0.79998168889431442"/>
      </colorScale>
    </cfRule>
  </conditionalFormatting>
  <conditionalFormatting sqref="K44:O44">
    <cfRule type="expression" dxfId="7" priority="13">
      <formula>K44=K35</formula>
    </cfRule>
  </conditionalFormatting>
  <conditionalFormatting sqref="P39:P43">
    <cfRule type="expression" dxfId="6" priority="12">
      <formula>P39=P30</formula>
    </cfRule>
  </conditionalFormatting>
  <conditionalFormatting sqref="U44:Y44">
    <cfRule type="expression" dxfId="5" priority="11">
      <formula>U44=K44</formula>
    </cfRule>
  </conditionalFormatting>
  <conditionalFormatting sqref="Z39:Z43">
    <cfRule type="expression" dxfId="4" priority="10">
      <formula>Z39=P39</formula>
    </cfRule>
  </conditionalFormatting>
  <conditionalFormatting sqref="U39:Y43">
    <cfRule type="colorScale" priority="9">
      <colorScale>
        <cfvo type="min"/>
        <cfvo type="max"/>
        <color theme="4" tint="0.79998168889431442"/>
        <color theme="5" tint="0.79998168889431442"/>
      </colorScale>
    </cfRule>
  </conditionalFormatting>
  <conditionalFormatting sqref="B39:F43">
    <cfRule type="colorScale" priority="8">
      <colorScale>
        <cfvo type="min"/>
        <cfvo type="max"/>
        <color theme="4" tint="0.79998168889431442"/>
        <color theme="5" tint="0.79998168889431442"/>
      </colorScale>
    </cfRule>
  </conditionalFormatting>
  <conditionalFormatting sqref="K53:O53">
    <cfRule type="expression" dxfId="3" priority="7">
      <formula>K53=K44</formula>
    </cfRule>
  </conditionalFormatting>
  <conditionalFormatting sqref="P48:P52">
    <cfRule type="expression" dxfId="2" priority="6">
      <formula>P48=P39</formula>
    </cfRule>
  </conditionalFormatting>
  <conditionalFormatting sqref="B48:F52">
    <cfRule type="colorScale" priority="2">
      <colorScale>
        <cfvo type="min"/>
        <cfvo type="max"/>
        <color theme="4" tint="0.79998168889431442"/>
        <color theme="5" tint="0.79998168889431442"/>
      </colorScale>
    </cfRule>
  </conditionalFormatting>
  <conditionalFormatting sqref="K48:O52">
    <cfRule type="colorScale" priority="1">
      <colorScale>
        <cfvo type="min"/>
        <cfvo type="max"/>
        <color theme="4" tint="0.79998168889431442"/>
        <color theme="5" tint="0.79998168889431442"/>
      </colorScale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Balance (start)</vt:lpstr>
      <vt:lpstr>Balance (opt)</vt:lpstr>
      <vt:lpstr>Unbalance (start)</vt:lpstr>
      <vt:lpstr>Unbalance (opt)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2025-11-01T17:30:53Z</dcterms:modified>
</cp:coreProperties>
</file>