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er\Documents\Методы оптимизации\mathematical-optimization\"/>
    </mc:Choice>
  </mc:AlternateContent>
  <xr:revisionPtr revIDLastSave="0" documentId="13_ncr:1_{C1BFED59-D88C-440D-953B-796D6D1A3218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Balance (start)" sheetId="1" r:id="rId1"/>
    <sheet name="Balance (opt)" sheetId="3" r:id="rId2"/>
    <sheet name="Balance (pot)" sheetId="4" r:id="rId3"/>
    <sheet name="Unbalance (start)" sheetId="5" r:id="rId4"/>
    <sheet name="Unbalance (opt)" sheetId="7" r:id="rId5"/>
    <sheet name="Unbalance (pot)" sheetId="6" r:id="rId6"/>
  </sheets>
  <definedNames>
    <definedName name="solver_eng" localSheetId="1" hidden="1">1</definedName>
    <definedName name="solver_eng" localSheetId="2" hidden="1">1</definedName>
    <definedName name="solver_eng" localSheetId="4" hidden="1">1</definedName>
    <definedName name="solver_eng" localSheetId="5" hidden="1">1</definedName>
    <definedName name="solver_neg" localSheetId="1" hidden="1">1</definedName>
    <definedName name="solver_neg" localSheetId="2" hidden="1">1</definedName>
    <definedName name="solver_neg" localSheetId="4" hidden="1">1</definedName>
    <definedName name="solver_neg" localSheetId="5" hidden="1">1</definedName>
    <definedName name="solver_num" localSheetId="1" hidden="1">0</definedName>
    <definedName name="solver_num" localSheetId="2" hidden="1">0</definedName>
    <definedName name="solver_num" localSheetId="4" hidden="1">0</definedName>
    <definedName name="solver_num" localSheetId="5" hidden="1">0</definedName>
    <definedName name="solver_opt" localSheetId="1" hidden="1">'Balance (opt)'!$G$13</definedName>
    <definedName name="solver_opt" localSheetId="2" hidden="1">'Balance (pot)'!$G$13</definedName>
    <definedName name="solver_opt" localSheetId="4" hidden="1">'Unbalance (opt)'!$G$13</definedName>
    <definedName name="solver_opt" localSheetId="5" hidden="1">'Unbalance (pot)'!$G$13</definedName>
    <definedName name="solver_typ" localSheetId="1" hidden="1">3</definedName>
    <definedName name="solver_typ" localSheetId="2" hidden="1">3</definedName>
    <definedName name="solver_typ" localSheetId="4" hidden="1">3</definedName>
    <definedName name="solver_typ" localSheetId="5" hidden="1">3</definedName>
    <definedName name="solver_val" localSheetId="1" hidden="1">0</definedName>
    <definedName name="solver_val" localSheetId="2" hidden="1">0</definedName>
    <definedName name="solver_val" localSheetId="4" hidden="1">0</definedName>
    <definedName name="solver_val" localSheetId="5" hidden="1">0</definedName>
    <definedName name="solver_ver" localSheetId="1" hidden="1">3</definedName>
    <definedName name="solver_ver" localSheetId="2" hidden="1">3</definedName>
    <definedName name="solver_ver" localSheetId="4" hidden="1">3</definedName>
    <definedName name="solver_ver" localSheetId="5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97" i="6" l="1"/>
  <c r="AF97" i="6"/>
  <c r="AE97" i="6"/>
  <c r="AD97" i="6"/>
  <c r="AC97" i="6"/>
  <c r="T97" i="6" a="1"/>
  <c r="T97" i="6" s="1"/>
  <c r="K97" i="6" a="1"/>
  <c r="K97" i="6" s="1"/>
  <c r="AH96" i="6"/>
  <c r="AH95" i="6"/>
  <c r="AH94" i="6"/>
  <c r="AH93" i="6"/>
  <c r="AH92" i="6"/>
  <c r="Y92" i="6" a="1"/>
  <c r="Y92" i="6" s="1"/>
  <c r="P92" i="6" a="1"/>
  <c r="P92" i="6" s="1"/>
  <c r="AJ90" i="6"/>
  <c r="AI90" i="6"/>
  <c r="AI90" i="6" a="1"/>
  <c r="AR87" i="6"/>
  <c r="AQ87" i="6"/>
  <c r="AP87" i="6"/>
  <c r="AO87" i="6"/>
  <c r="AN87" i="6"/>
  <c r="AG87" i="6"/>
  <c r="AF87" i="6"/>
  <c r="AE87" i="6"/>
  <c r="AD87" i="6"/>
  <c r="AC87" i="6"/>
  <c r="T87" i="6" a="1"/>
  <c r="T87" i="6" s="1"/>
  <c r="K87" i="6" a="1"/>
  <c r="K87" i="6" s="1"/>
  <c r="AS86" i="6"/>
  <c r="AH86" i="6"/>
  <c r="AS85" i="6"/>
  <c r="AH85" i="6"/>
  <c r="AS84" i="6"/>
  <c r="AH84" i="6"/>
  <c r="AS83" i="6"/>
  <c r="AH83" i="6"/>
  <c r="AS82" i="6"/>
  <c r="AH82" i="6"/>
  <c r="Y82" i="6" a="1"/>
  <c r="Y82" i="6" s="1"/>
  <c r="P82" i="6" a="1"/>
  <c r="P82" i="6" s="1"/>
  <c r="AU80" i="6"/>
  <c r="AT80" i="6" a="1"/>
  <c r="AT80" i="6" s="1"/>
  <c r="AJ80" i="6"/>
  <c r="AI80" i="6" a="1"/>
  <c r="AI80" i="6" s="1"/>
  <c r="AR77" i="6"/>
  <c r="AQ77" i="6"/>
  <c r="AP77" i="6"/>
  <c r="AO77" i="6"/>
  <c r="AN77" i="6"/>
  <c r="AG77" i="6"/>
  <c r="AF77" i="6"/>
  <c r="AE77" i="6"/>
  <c r="AD77" i="6"/>
  <c r="AC77" i="6"/>
  <c r="T77" i="6" a="1"/>
  <c r="T77" i="6" s="1"/>
  <c r="K77" i="6" a="1"/>
  <c r="K77" i="6" s="1"/>
  <c r="AS76" i="6"/>
  <c r="AH76" i="6"/>
  <c r="AS75" i="6"/>
  <c r="AH75" i="6"/>
  <c r="AS74" i="6"/>
  <c r="AH74" i="6"/>
  <c r="AS73" i="6"/>
  <c r="AH73" i="6"/>
  <c r="AS72" i="6"/>
  <c r="AH72" i="6"/>
  <c r="Y72" i="6" a="1"/>
  <c r="Y72" i="6" s="1"/>
  <c r="P72" i="6" a="1"/>
  <c r="P72" i="6" s="1"/>
  <c r="AU70" i="6"/>
  <c r="AT70" i="6" a="1"/>
  <c r="AT70" i="6" s="1"/>
  <c r="AJ70" i="6"/>
  <c r="AI70" i="6" a="1"/>
  <c r="AI70" i="6" s="1"/>
  <c r="AR67" i="6"/>
  <c r="AQ67" i="6"/>
  <c r="AP67" i="6"/>
  <c r="AO67" i="6"/>
  <c r="AN67" i="6"/>
  <c r="AG67" i="6"/>
  <c r="AF67" i="6"/>
  <c r="AE67" i="6"/>
  <c r="AD67" i="6"/>
  <c r="AC67" i="6"/>
  <c r="T67" i="6" a="1"/>
  <c r="T67" i="6" s="1"/>
  <c r="K67" i="6" a="1"/>
  <c r="K67" i="6" s="1"/>
  <c r="AS66" i="6"/>
  <c r="AH66" i="6"/>
  <c r="AS65" i="6"/>
  <c r="AH65" i="6"/>
  <c r="AS64" i="6"/>
  <c r="AH64" i="6"/>
  <c r="AS63" i="6"/>
  <c r="AH63" i="6"/>
  <c r="AS62" i="6"/>
  <c r="AH62" i="6"/>
  <c r="Y62" i="6" a="1"/>
  <c r="Y62" i="6" s="1"/>
  <c r="P62" i="6" a="1"/>
  <c r="P62" i="6" s="1"/>
  <c r="AU60" i="6"/>
  <c r="AT60" i="6" a="1"/>
  <c r="AT60" i="6" s="1"/>
  <c r="AJ60" i="6"/>
  <c r="AI60" i="6" a="1"/>
  <c r="AI60" i="6" s="1"/>
  <c r="AR57" i="6"/>
  <c r="AQ57" i="6"/>
  <c r="AP57" i="6"/>
  <c r="AO57" i="6"/>
  <c r="AN57" i="6"/>
  <c r="AG57" i="6"/>
  <c r="AF57" i="6"/>
  <c r="AE57" i="6"/>
  <c r="AD57" i="6"/>
  <c r="AC57" i="6"/>
  <c r="T57" i="6" a="1"/>
  <c r="T57" i="6" s="1"/>
  <c r="K57" i="6" a="1"/>
  <c r="K57" i="6" s="1"/>
  <c r="AS56" i="6"/>
  <c r="AH56" i="6"/>
  <c r="AS55" i="6"/>
  <c r="AH55" i="6"/>
  <c r="AS54" i="6"/>
  <c r="AH54" i="6"/>
  <c r="AS53" i="6"/>
  <c r="AH53" i="6"/>
  <c r="AS52" i="6"/>
  <c r="AH52" i="6"/>
  <c r="Y52" i="6" a="1"/>
  <c r="Y52" i="6" s="1"/>
  <c r="P52" i="6" a="1"/>
  <c r="P52" i="6" s="1"/>
  <c r="AU50" i="6"/>
  <c r="AT50" i="6" a="1"/>
  <c r="AT50" i="6" s="1"/>
  <c r="AJ50" i="6"/>
  <c r="AI50" i="6" a="1"/>
  <c r="AI50" i="6" s="1"/>
  <c r="AR47" i="6"/>
  <c r="AQ47" i="6"/>
  <c r="AP47" i="6"/>
  <c r="AO47" i="6"/>
  <c r="AN47" i="6"/>
  <c r="AG47" i="6"/>
  <c r="AF47" i="6"/>
  <c r="AE47" i="6"/>
  <c r="AD47" i="6"/>
  <c r="AC47" i="6"/>
  <c r="AS46" i="6"/>
  <c r="AH46" i="6"/>
  <c r="AS45" i="6"/>
  <c r="AH45" i="6"/>
  <c r="AS44" i="6"/>
  <c r="AH44" i="6"/>
  <c r="AS43" i="6"/>
  <c r="AH43" i="6"/>
  <c r="AS42" i="6"/>
  <c r="AH42" i="6"/>
  <c r="AU40" i="6"/>
  <c r="AT40" i="6" a="1"/>
  <c r="AT40" i="6" s="1"/>
  <c r="AJ40" i="6"/>
  <c r="AI40" i="6" a="1"/>
  <c r="AI40" i="6" s="1"/>
  <c r="O8" i="6"/>
  <c r="N8" i="6"/>
  <c r="M8" i="6"/>
  <c r="L8" i="6"/>
  <c r="K8" i="6"/>
  <c r="P7" i="6"/>
  <c r="P6" i="6"/>
  <c r="P5" i="6"/>
  <c r="P4" i="6"/>
  <c r="P3" i="6"/>
  <c r="R1" i="6"/>
  <c r="Q1" i="6"/>
  <c r="Q1" i="6" a="1"/>
  <c r="G8" i="6"/>
  <c r="G8" i="7"/>
  <c r="O8" i="7"/>
  <c r="N8" i="7"/>
  <c r="M8" i="7"/>
  <c r="L8" i="7"/>
  <c r="K8" i="7"/>
  <c r="P7" i="7"/>
  <c r="P6" i="7"/>
  <c r="P5" i="7"/>
  <c r="P4" i="7"/>
  <c r="P3" i="7"/>
  <c r="R1" i="7"/>
  <c r="Q1" i="7" a="1"/>
  <c r="Q1" i="7" s="1"/>
  <c r="T17" i="7" a="1"/>
  <c r="T17" i="7" s="1"/>
  <c r="K17" i="7" a="1"/>
  <c r="Y12" i="7" a="1"/>
  <c r="Y12" i="7" s="1"/>
  <c r="P12" i="7" a="1"/>
  <c r="T47" i="6" a="1"/>
  <c r="T47" i="6" s="1"/>
  <c r="K47" i="6" a="1"/>
  <c r="K47" i="6" s="1"/>
  <c r="Y42" i="6" a="1"/>
  <c r="Y42" i="6" s="1"/>
  <c r="P42" i="6" a="1"/>
  <c r="P42" i="6" s="1"/>
  <c r="AR37" i="6"/>
  <c r="AQ37" i="6"/>
  <c r="AP37" i="6"/>
  <c r="AO37" i="6"/>
  <c r="AN37" i="6"/>
  <c r="AG37" i="6"/>
  <c r="AF37" i="6"/>
  <c r="AE37" i="6"/>
  <c r="AD37" i="6"/>
  <c r="T37" i="6" a="1"/>
  <c r="T37" i="6" s="1"/>
  <c r="K37" i="6" a="1"/>
  <c r="K37" i="6" s="1"/>
  <c r="AS36" i="6"/>
  <c r="AH36" i="6"/>
  <c r="AS35" i="6"/>
  <c r="AH35" i="6"/>
  <c r="AS34" i="6"/>
  <c r="AH34" i="6"/>
  <c r="AS33" i="6"/>
  <c r="AH33" i="6"/>
  <c r="AS32" i="6"/>
  <c r="Y32" i="6" a="1"/>
  <c r="Y32" i="6" s="1"/>
  <c r="P32" i="6" a="1"/>
  <c r="P32" i="6" s="1"/>
  <c r="AU30" i="6"/>
  <c r="AT30" i="6" a="1"/>
  <c r="AT30" i="6" s="1"/>
  <c r="AR27" i="6"/>
  <c r="AQ27" i="6"/>
  <c r="AP27" i="6"/>
  <c r="AO27" i="6"/>
  <c r="AN27" i="6"/>
  <c r="AG27" i="6"/>
  <c r="AF27" i="6"/>
  <c r="AE27" i="6"/>
  <c r="AD27" i="6"/>
  <c r="AC27" i="6"/>
  <c r="T27" i="6" a="1"/>
  <c r="T27" i="6" s="1"/>
  <c r="K27" i="6" a="1"/>
  <c r="K27" i="6" s="1"/>
  <c r="AS26" i="6"/>
  <c r="AH26" i="6"/>
  <c r="AS25" i="6"/>
  <c r="AH25" i="6"/>
  <c r="AS24" i="6"/>
  <c r="AH24" i="6"/>
  <c r="AS23" i="6"/>
  <c r="AH23" i="6"/>
  <c r="AS22" i="6"/>
  <c r="AH22" i="6"/>
  <c r="Y22" i="6" a="1"/>
  <c r="Y22" i="6" s="1"/>
  <c r="P22" i="6" a="1"/>
  <c r="P22" i="6" s="1"/>
  <c r="AU20" i="6"/>
  <c r="AT20" i="6" a="1"/>
  <c r="AT20" i="6" s="1"/>
  <c r="AJ20" i="6"/>
  <c r="AI20" i="6" a="1"/>
  <c r="AI20" i="6" s="1"/>
  <c r="AR17" i="6"/>
  <c r="AQ17" i="6"/>
  <c r="AP17" i="6"/>
  <c r="AO17" i="6"/>
  <c r="AN17" i="6"/>
  <c r="AG17" i="6"/>
  <c r="AF17" i="6"/>
  <c r="AE17" i="6"/>
  <c r="AD17" i="6"/>
  <c r="AC17" i="6"/>
  <c r="T17" i="6" a="1"/>
  <c r="T17" i="6" s="1"/>
  <c r="K17" i="6" a="1"/>
  <c r="K17" i="6" s="1"/>
  <c r="AS16" i="6"/>
  <c r="AH16" i="6"/>
  <c r="AS15" i="6"/>
  <c r="AH15" i="6"/>
  <c r="AS14" i="6"/>
  <c r="AH14" i="6"/>
  <c r="AS13" i="6"/>
  <c r="AH13" i="6"/>
  <c r="AS12" i="6"/>
  <c r="AH12" i="6"/>
  <c r="Y12" i="6" a="1"/>
  <c r="Y12" i="6" s="1"/>
  <c r="P12" i="6" a="1"/>
  <c r="P12" i="6" s="1"/>
  <c r="AU10" i="6"/>
  <c r="AT10" i="6" a="1"/>
  <c r="AT10" i="6" s="1"/>
  <c r="AJ10" i="6"/>
  <c r="AI10" i="6" a="1"/>
  <c r="AI10" i="6" s="1"/>
  <c r="B8" i="5" a="1"/>
  <c r="B8" i="5" s="1"/>
  <c r="G8" i="5" s="1"/>
  <c r="G18" i="5"/>
  <c r="AI8" i="5"/>
  <c r="AH8" i="5"/>
  <c r="AG8" i="5"/>
  <c r="AF8" i="5"/>
  <c r="AE8" i="5"/>
  <c r="Y8" i="5"/>
  <c r="X8" i="5"/>
  <c r="W8" i="5"/>
  <c r="V8" i="5"/>
  <c r="U8" i="5"/>
  <c r="O8" i="5"/>
  <c r="N8" i="5"/>
  <c r="M8" i="5"/>
  <c r="L8" i="5"/>
  <c r="K8" i="5"/>
  <c r="AJ7" i="5"/>
  <c r="Z7" i="5"/>
  <c r="P7" i="5"/>
  <c r="AJ6" i="5"/>
  <c r="Z6" i="5"/>
  <c r="P6" i="5"/>
  <c r="AJ5" i="5"/>
  <c r="Z5" i="5"/>
  <c r="P5" i="5"/>
  <c r="AJ4" i="5"/>
  <c r="Z4" i="5"/>
  <c r="P4" i="5"/>
  <c r="AJ3" i="5"/>
  <c r="Z3" i="5"/>
  <c r="P3" i="5"/>
  <c r="AL1" i="5"/>
  <c r="AK1" i="5" a="1"/>
  <c r="AK1" i="5" s="1"/>
  <c r="AB1" i="5"/>
  <c r="AA1" i="5" a="1"/>
  <c r="AA1" i="5" s="1"/>
  <c r="R1" i="5"/>
  <c r="Q1" i="5" a="1"/>
  <c r="Q1" i="5" s="1"/>
  <c r="AG47" i="4"/>
  <c r="AF47" i="4"/>
  <c r="AE47" i="4"/>
  <c r="AD47" i="4"/>
  <c r="AH46" i="4"/>
  <c r="AH45" i="4"/>
  <c r="AH44" i="4"/>
  <c r="AH43" i="4"/>
  <c r="T47" i="4" a="1"/>
  <c r="T47" i="4" s="1"/>
  <c r="K47" i="4" a="1"/>
  <c r="K47" i="4" s="1"/>
  <c r="Y42" i="4" a="1"/>
  <c r="Y42" i="4" s="1"/>
  <c r="P42" i="4" a="1"/>
  <c r="P42" i="4" s="1"/>
  <c r="K22" i="4" a="1"/>
  <c r="K22" i="4" s="1"/>
  <c r="T22" i="4" s="1" a="1"/>
  <c r="T22" i="4" s="1"/>
  <c r="K12" i="4" a="1"/>
  <c r="K12" i="4" s="1"/>
  <c r="T12" i="4" s="1" a="1"/>
  <c r="T12" i="4" s="1"/>
  <c r="AR37" i="4"/>
  <c r="AQ37" i="4"/>
  <c r="AP37" i="4"/>
  <c r="AO37" i="4"/>
  <c r="AN37" i="4"/>
  <c r="AG37" i="4"/>
  <c r="AF37" i="4"/>
  <c r="AE37" i="4"/>
  <c r="AD37" i="4"/>
  <c r="AC37" i="4"/>
  <c r="T37" i="4" a="1"/>
  <c r="T37" i="4" s="1"/>
  <c r="K37" i="4" a="1"/>
  <c r="K37" i="4" s="1"/>
  <c r="AS36" i="4"/>
  <c r="AH36" i="4"/>
  <c r="AS35" i="4"/>
  <c r="AH35" i="4"/>
  <c r="AS34" i="4"/>
  <c r="AH34" i="4"/>
  <c r="AS33" i="4"/>
  <c r="AH33" i="4"/>
  <c r="AS32" i="4"/>
  <c r="AH32" i="4"/>
  <c r="Y32" i="4" a="1"/>
  <c r="Y32" i="4" s="1"/>
  <c r="P32" i="4" a="1"/>
  <c r="AU30" i="4"/>
  <c r="AT30" i="4" a="1"/>
  <c r="AT30" i="4" s="1"/>
  <c r="AJ30" i="4"/>
  <c r="AI30" i="4" a="1"/>
  <c r="AI30" i="4" s="1"/>
  <c r="AR27" i="4"/>
  <c r="AQ27" i="4"/>
  <c r="AP27" i="4"/>
  <c r="AO27" i="4"/>
  <c r="AN27" i="4"/>
  <c r="AG27" i="4"/>
  <c r="AF27" i="4"/>
  <c r="AE27" i="4"/>
  <c r="AD27" i="4"/>
  <c r="AC27" i="4"/>
  <c r="T27" i="4" a="1"/>
  <c r="T27" i="4" s="1"/>
  <c r="K27" i="4" a="1"/>
  <c r="K27" i="4" s="1"/>
  <c r="AS26" i="4"/>
  <c r="AH26" i="4"/>
  <c r="AS25" i="4"/>
  <c r="AH25" i="4"/>
  <c r="AS24" i="4"/>
  <c r="AH24" i="4"/>
  <c r="AS23" i="4"/>
  <c r="AH23" i="4"/>
  <c r="AS22" i="4"/>
  <c r="AH22" i="4"/>
  <c r="Y22" i="4" a="1"/>
  <c r="Y22" i="4" s="1"/>
  <c r="P22" i="4" a="1"/>
  <c r="AU20" i="4"/>
  <c r="AT20" i="4" a="1"/>
  <c r="AT20" i="4" s="1"/>
  <c r="AJ20" i="4"/>
  <c r="AI20" i="4" a="1"/>
  <c r="AI20" i="4" s="1"/>
  <c r="AR17" i="4"/>
  <c r="AQ17" i="4"/>
  <c r="AP17" i="4"/>
  <c r="AO17" i="4"/>
  <c r="AN17" i="4"/>
  <c r="AS16" i="4"/>
  <c r="AS15" i="4"/>
  <c r="AS14" i="4"/>
  <c r="AS13" i="4"/>
  <c r="AS12" i="4"/>
  <c r="AU10" i="4"/>
  <c r="AT10" i="4" a="1"/>
  <c r="AT10" i="4" s="1"/>
  <c r="AG17" i="4"/>
  <c r="AF17" i="4"/>
  <c r="AE17" i="4"/>
  <c r="AD17" i="4"/>
  <c r="AC17" i="4"/>
  <c r="AH16" i="4"/>
  <c r="AH15" i="4"/>
  <c r="AH14" i="4"/>
  <c r="AH13" i="4"/>
  <c r="AH12" i="4"/>
  <c r="AJ10" i="4"/>
  <c r="AI10" i="4" a="1"/>
  <c r="AI10" i="4" s="1"/>
  <c r="T17" i="4" a="1"/>
  <c r="T17" i="4" s="1"/>
  <c r="K17" i="4" a="1"/>
  <c r="K17" i="4" s="1"/>
  <c r="Y12" i="4" a="1"/>
  <c r="Y12" i="4" s="1"/>
  <c r="P12" i="4" a="1"/>
  <c r="O8" i="4"/>
  <c r="N8" i="4"/>
  <c r="M8" i="4"/>
  <c r="L8" i="4"/>
  <c r="K8" i="4"/>
  <c r="P7" i="4"/>
  <c r="P6" i="4"/>
  <c r="P5" i="4"/>
  <c r="P4" i="4"/>
  <c r="P3" i="4"/>
  <c r="R1" i="4"/>
  <c r="Q1" i="4" a="1"/>
  <c r="Q1" i="4" s="1"/>
  <c r="Y12" i="3" a="1"/>
  <c r="Y12" i="3" s="1"/>
  <c r="P12" i="3" a="1"/>
  <c r="P12" i="3" s="1"/>
  <c r="T17" i="3" a="1"/>
  <c r="T17" i="3" s="1"/>
  <c r="K17" i="3" a="1"/>
  <c r="K17" i="3" s="1"/>
  <c r="U15" i="3"/>
  <c r="L13" i="3"/>
  <c r="U13" i="3" s="1"/>
  <c r="M13" i="3"/>
  <c r="V13" i="3" s="1"/>
  <c r="N13" i="3"/>
  <c r="W13" i="3" s="1"/>
  <c r="O13" i="3"/>
  <c r="X13" i="3" s="1"/>
  <c r="L14" i="3"/>
  <c r="U14" i="3" s="1"/>
  <c r="M14" i="3"/>
  <c r="V14" i="3" s="1"/>
  <c r="N14" i="3"/>
  <c r="W14" i="3" s="1"/>
  <c r="O14" i="3"/>
  <c r="X14" i="3" s="1"/>
  <c r="L15" i="3"/>
  <c r="M15" i="3"/>
  <c r="V15" i="3" s="1"/>
  <c r="N15" i="3"/>
  <c r="W15" i="3" s="1"/>
  <c r="O15" i="3"/>
  <c r="X15" i="3" s="1"/>
  <c r="L16" i="3"/>
  <c r="U16" i="3" s="1"/>
  <c r="M16" i="3"/>
  <c r="V16" i="3" s="1"/>
  <c r="N16" i="3"/>
  <c r="W16" i="3" s="1"/>
  <c r="O16" i="3"/>
  <c r="X16" i="3" s="1"/>
  <c r="K8" i="3"/>
  <c r="L8" i="3"/>
  <c r="M8" i="3"/>
  <c r="N8" i="3"/>
  <c r="O8" i="3"/>
  <c r="P3" i="3"/>
  <c r="P4" i="3"/>
  <c r="P5" i="3"/>
  <c r="P6" i="3"/>
  <c r="P7" i="3"/>
  <c r="R1" i="3"/>
  <c r="Q1" i="3" a="1"/>
  <c r="Q1" i="3" s="1"/>
  <c r="AI8" i="1"/>
  <c r="AH8" i="1"/>
  <c r="AG8" i="1"/>
  <c r="AF8" i="1"/>
  <c r="AE8" i="1"/>
  <c r="AJ7" i="1"/>
  <c r="AJ6" i="1"/>
  <c r="AJ5" i="1"/>
  <c r="AJ4" i="1"/>
  <c r="AJ3" i="1"/>
  <c r="AL1" i="1"/>
  <c r="AK1" i="1" a="1"/>
  <c r="AK1" i="1" s="1"/>
  <c r="R1" i="1"/>
  <c r="AB1" i="1"/>
  <c r="AA1" i="1" a="1"/>
  <c r="AA1" i="1" s="1"/>
  <c r="Q1" i="1" a="1"/>
  <c r="Q1" i="1" s="1"/>
  <c r="Y8" i="1"/>
  <c r="X8" i="1"/>
  <c r="W8" i="1"/>
  <c r="V8" i="1"/>
  <c r="U8" i="1"/>
  <c r="Z7" i="1"/>
  <c r="Z6" i="1"/>
  <c r="Z5" i="1"/>
  <c r="Z4" i="1"/>
  <c r="Z3" i="1"/>
  <c r="P4" i="1"/>
  <c r="P5" i="1"/>
  <c r="P6" i="1"/>
  <c r="P7" i="1"/>
  <c r="P3" i="1"/>
  <c r="L8" i="1"/>
  <c r="M8" i="1"/>
  <c r="N8" i="1"/>
  <c r="O8" i="1"/>
  <c r="K8" i="1"/>
  <c r="K92" i="6" l="1" a="1"/>
  <c r="K92" i="6" s="1"/>
  <c r="T92" i="6" s="1" a="1"/>
  <c r="T92" i="6" s="1"/>
  <c r="K82" i="6" a="1"/>
  <c r="K82" i="6" s="1"/>
  <c r="T82" i="6" s="1" a="1"/>
  <c r="T82" i="6" s="1"/>
  <c r="K72" i="6" a="1"/>
  <c r="K72" i="6" s="1"/>
  <c r="T72" i="6" s="1" a="1"/>
  <c r="T72" i="6" s="1"/>
  <c r="K62" i="6" a="1"/>
  <c r="K62" i="6" s="1"/>
  <c r="T62" i="6" s="1" a="1"/>
  <c r="T62" i="6" s="1"/>
  <c r="K52" i="6" a="1"/>
  <c r="K52" i="6" s="1"/>
  <c r="T52" i="6" s="1" a="1"/>
  <c r="T52" i="6" s="1"/>
  <c r="K42" i="6" a="1"/>
  <c r="K42" i="6" s="1"/>
  <c r="T42" i="6" s="1" a="1"/>
  <c r="T42" i="6" s="1"/>
  <c r="AJ30" i="6"/>
  <c r="AI30" i="6" a="1"/>
  <c r="AI30" i="6" s="1"/>
  <c r="AH32" i="6"/>
  <c r="AC37" i="6"/>
  <c r="K32" i="6" a="1"/>
  <c r="K32" i="6" s="1"/>
  <c r="T32" i="6" s="1" a="1"/>
  <c r="T32" i="6" s="1"/>
  <c r="K22" i="6" a="1"/>
  <c r="K22" i="6" s="1"/>
  <c r="T22" i="6" s="1" a="1"/>
  <c r="T22" i="6" s="1"/>
  <c r="M16" i="7"/>
  <c r="V16" i="7" s="1"/>
  <c r="L16" i="7"/>
  <c r="U16" i="7" s="1"/>
  <c r="O13" i="7"/>
  <c r="X13" i="7" s="1"/>
  <c r="L15" i="7"/>
  <c r="U15" i="7" s="1"/>
  <c r="M14" i="7"/>
  <c r="V14" i="7" s="1"/>
  <c r="P12" i="7"/>
  <c r="O15" i="7"/>
  <c r="X15" i="7" s="1"/>
  <c r="N16" i="7"/>
  <c r="W16" i="7" s="1"/>
  <c r="K17" i="7"/>
  <c r="M13" i="7"/>
  <c r="V13" i="7" s="1"/>
  <c r="O14" i="7"/>
  <c r="X14" i="7" s="1"/>
  <c r="M15" i="7"/>
  <c r="V15" i="7" s="1"/>
  <c r="O16" i="7"/>
  <c r="X16" i="7" s="1"/>
  <c r="L13" i="7"/>
  <c r="U13" i="7" s="1"/>
  <c r="N14" i="7"/>
  <c r="W14" i="7" s="1"/>
  <c r="N13" i="7"/>
  <c r="W13" i="7" s="1"/>
  <c r="L14" i="7"/>
  <c r="U14" i="7" s="1"/>
  <c r="N15" i="7"/>
  <c r="W15" i="7" s="1"/>
  <c r="K12" i="6" a="1"/>
  <c r="K12" i="6" s="1"/>
  <c r="T12" i="6" s="1" a="1"/>
  <c r="T12" i="6" s="1"/>
  <c r="AJ40" i="4"/>
  <c r="AI40" i="4" a="1"/>
  <c r="AI40" i="4" s="1"/>
  <c r="AC47" i="4"/>
  <c r="AH42" i="4"/>
  <c r="K42" i="4" a="1"/>
  <c r="K42" i="4" s="1"/>
  <c r="T42" i="4" s="1" a="1"/>
  <c r="T42" i="4" s="1"/>
  <c r="P32" i="4"/>
  <c r="K32" i="4" s="1" a="1"/>
  <c r="K32" i="4" s="1"/>
  <c r="P22" i="4"/>
  <c r="P12" i="4"/>
  <c r="L12" i="3"/>
  <c r="U12" i="3" s="1"/>
  <c r="M12" i="3"/>
  <c r="V12" i="3" s="1"/>
  <c r="O12" i="3"/>
  <c r="X12" i="3" s="1"/>
  <c r="N12" i="3"/>
  <c r="W12" i="3" s="1"/>
  <c r="K14" i="3"/>
  <c r="T14" i="3" s="1"/>
  <c r="K15" i="3"/>
  <c r="T15" i="3" s="1"/>
  <c r="K16" i="3"/>
  <c r="T16" i="3" s="1"/>
  <c r="K12" i="3"/>
  <c r="T12" i="3" s="1"/>
  <c r="K13" i="3"/>
  <c r="T13" i="3" s="1"/>
  <c r="L12" i="7" l="1"/>
  <c r="U12" i="7" s="1"/>
  <c r="M12" i="7"/>
  <c r="V12" i="7" s="1"/>
  <c r="O12" i="7"/>
  <c r="X12" i="7" s="1"/>
  <c r="N12" i="7"/>
  <c r="W12" i="7" s="1"/>
  <c r="K12" i="7"/>
  <c r="T12" i="7" s="1"/>
  <c r="K15" i="7"/>
  <c r="T15" i="7" s="1"/>
  <c r="K13" i="7"/>
  <c r="T13" i="7" s="1"/>
  <c r="K16" i="7"/>
  <c r="T16" i="7" s="1"/>
  <c r="K14" i="7"/>
  <c r="T14" i="7" s="1"/>
  <c r="T32" i="4" a="1"/>
  <c r="T32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<sst xmlns="http://schemas.openxmlformats.org/spreadsheetml/2006/main" count="1122" uniqueCount="27">
  <si>
    <t>A1</t>
  </si>
  <si>
    <t>A2</t>
  </si>
  <si>
    <t>A3</t>
  </si>
  <si>
    <t>A4</t>
  </si>
  <si>
    <t>A5</t>
  </si>
  <si>
    <t>B1</t>
  </si>
  <si>
    <t>B2</t>
  </si>
  <si>
    <t>B3</t>
  </si>
  <si>
    <t>B4</t>
  </si>
  <si>
    <t>B5</t>
  </si>
  <si>
    <t>bj</t>
  </si>
  <si>
    <t>ai</t>
  </si>
  <si>
    <t>Исходная таблица</t>
  </si>
  <si>
    <t>Метод северо-западного угла</t>
  </si>
  <si>
    <t>Метод минимального элемента</t>
  </si>
  <si>
    <t>Метод Фогеля</t>
  </si>
  <si>
    <t>tax</t>
  </si>
  <si>
    <t>Начальное невырожденное решение</t>
  </si>
  <si>
    <t>Базисные клетки</t>
  </si>
  <si>
    <t>αi</t>
  </si>
  <si>
    <t>βj</t>
  </si>
  <si>
    <t>Псевдостоимости</t>
  </si>
  <si>
    <t>Штрафы</t>
  </si>
  <si>
    <t>Цикл на базисных клетках</t>
  </si>
  <si>
    <t>Результат перемещения груза по циклу</t>
  </si>
  <si>
    <t>Оптимальное решение</t>
  </si>
  <si>
    <t>Сбалансированная таблица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</si>
</sst>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Обычный" xfId="0" builtinId="0"/>
  </cellStyles>
  <dxfs count="66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customXml" Target="../ink/ink3.xml"/><Relationship Id="rId7" Type="http://schemas.openxmlformats.org/officeDocument/2006/relationships/customXml" Target="../ink/ink5.xml"/><Relationship Id="rId12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customXml" Target="../ink/ink2.xml"/><Relationship Id="rId6" Type="http://schemas.openxmlformats.org/officeDocument/2006/relationships/image" Target="../media/image4.png"/><Relationship Id="rId11" Type="http://schemas.openxmlformats.org/officeDocument/2006/relationships/customXml" Target="../ink/ink7.xml"/><Relationship Id="rId5" Type="http://schemas.openxmlformats.org/officeDocument/2006/relationships/customXml" Target="../ink/ink4.xml"/><Relationship Id="rId10" Type="http://schemas.openxmlformats.org/officeDocument/2006/relationships/image" Target="../media/image6.png"/><Relationship Id="rId4" Type="http://schemas.openxmlformats.org/officeDocument/2006/relationships/image" Target="../media/image3.png"/><Relationship Id="rId9" Type="http://schemas.openxmlformats.org/officeDocument/2006/relationships/customXml" Target="../ink/ink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222000</xdr:colOff>
      <xdr:row>11</xdr:row>
      <xdr:rowOff>303000</xdr:rowOff>
    </xdr:from>
    <xdr:to>
      <xdr:col>5</xdr:col>
      <xdr:colOff>211080</xdr:colOff>
      <xdr:row>15</xdr:row>
      <xdr:rowOff>241680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">
          <xdr14:nvContentPartPr>
            <xdr14:cNvPr id="2" name="Рукописный ввод 1">
              <a:extLst>
                <a:ext uri="{FF2B5EF4-FFF2-40B4-BE49-F238E27FC236}">
                  <a16:creationId xmlns:a16="http://schemas.microsoft.com/office/drawing/2014/main" id="{94EFD849-B62F-5877-60D8-CC9D9A2AA5DD}"/>
                </a:ext>
              </a:extLst>
            </xdr14:cNvPr>
            <xdr14:cNvContentPartPr/>
          </xdr14:nvContentPartPr>
          <xdr14:nvPr macro=""/>
          <xdr14:xfrm>
            <a:off x="603000" y="4494000"/>
            <a:ext cx="1513080" cy="1462680"/>
          </xdr14:xfrm>
        </xdr:contentPart>
      </mc:Choice>
      <mc:Fallback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94EFD849-B62F-5877-60D8-CC9D9A2AA5D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94000" y="4440000"/>
              <a:ext cx="1530720" cy="15703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29</xdr:col>
      <xdr:colOff>177800</xdr:colOff>
      <xdr:row>12</xdr:row>
      <xdr:rowOff>107950</xdr:rowOff>
    </xdr:from>
    <xdr:to>
      <xdr:col>32</xdr:col>
      <xdr:colOff>222250</xdr:colOff>
      <xdr:row>13</xdr:row>
      <xdr:rowOff>215900</xdr:rowOff>
    </xdr:to>
    <xdr:sp macro="" textlink="">
      <xdr:nvSpPr>
        <xdr:cNvPr id="7" name="Прямоугольник 6">
          <a:extLst>
            <a:ext uri="{FF2B5EF4-FFF2-40B4-BE49-F238E27FC236}">
              <a16:creationId xmlns:a16="http://schemas.microsoft.com/office/drawing/2014/main" id="{F998A2F6-E1DA-E8CE-E45D-ACFEB41D79C4}"/>
            </a:ext>
          </a:extLst>
        </xdr:cNvPr>
        <xdr:cNvSpPr/>
      </xdr:nvSpPr>
      <xdr:spPr>
        <a:xfrm>
          <a:off x="11226800" y="4679950"/>
          <a:ext cx="1187450" cy="488950"/>
        </a:xfrm>
        <a:prstGeom prst="rect">
          <a:avLst/>
        </a:prstGeom>
        <a:noFill/>
        <a:ln>
          <a:prstDash val="dash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30</xdr:col>
      <xdr:colOff>196850</xdr:colOff>
      <xdr:row>21</xdr:row>
      <xdr:rowOff>177800</xdr:rowOff>
    </xdr:from>
    <xdr:to>
      <xdr:col>31</xdr:col>
      <xdr:colOff>215900</xdr:colOff>
      <xdr:row>25</xdr:row>
      <xdr:rowOff>215900</xdr:rowOff>
    </xdr:to>
    <xdr:sp macro="" textlink="">
      <xdr:nvSpPr>
        <xdr:cNvPr id="11" name="Прямоугольник 10">
          <a:extLst>
            <a:ext uri="{FF2B5EF4-FFF2-40B4-BE49-F238E27FC236}">
              <a16:creationId xmlns:a16="http://schemas.microsoft.com/office/drawing/2014/main" id="{378E62E7-63A9-4E63-A603-65571F92E13C}"/>
            </a:ext>
          </a:extLst>
        </xdr:cNvPr>
        <xdr:cNvSpPr/>
      </xdr:nvSpPr>
      <xdr:spPr>
        <a:xfrm>
          <a:off x="11626850" y="8178800"/>
          <a:ext cx="400050" cy="1562100"/>
        </a:xfrm>
        <a:prstGeom prst="rect">
          <a:avLst/>
        </a:prstGeom>
        <a:noFill/>
        <a:ln>
          <a:prstDash val="dash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29</xdr:col>
      <xdr:colOff>215900</xdr:colOff>
      <xdr:row>34</xdr:row>
      <xdr:rowOff>228600</xdr:rowOff>
    </xdr:from>
    <xdr:to>
      <xdr:col>31</xdr:col>
      <xdr:colOff>222250</xdr:colOff>
      <xdr:row>35</xdr:row>
      <xdr:rowOff>203200</xdr:rowOff>
    </xdr:to>
    <xdr:sp macro="" textlink="">
      <xdr:nvSpPr>
        <xdr:cNvPr id="14" name="Прямоугольник 13">
          <a:extLst>
            <a:ext uri="{FF2B5EF4-FFF2-40B4-BE49-F238E27FC236}">
              <a16:creationId xmlns:a16="http://schemas.microsoft.com/office/drawing/2014/main" id="{1BF894B1-97FD-4337-87CA-EB34DF3985B1}"/>
            </a:ext>
          </a:extLst>
        </xdr:cNvPr>
        <xdr:cNvSpPr/>
      </xdr:nvSpPr>
      <xdr:spPr>
        <a:xfrm flipV="1">
          <a:off x="11264900" y="13182600"/>
          <a:ext cx="768350" cy="355600"/>
        </a:xfrm>
        <a:prstGeom prst="rect">
          <a:avLst/>
        </a:prstGeom>
        <a:noFill/>
        <a:ln>
          <a:prstDash val="dash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154800</xdr:colOff>
      <xdr:row>11</xdr:row>
      <xdr:rowOff>139320</xdr:rowOff>
    </xdr:from>
    <xdr:to>
      <xdr:col>32</xdr:col>
      <xdr:colOff>204120</xdr:colOff>
      <xdr:row>14</xdr:row>
      <xdr:rowOff>306360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">
          <xdr14:nvContentPartPr>
            <xdr14:cNvPr id="6" name="Рукописный ввод 5">
              <a:extLst>
                <a:ext uri="{FF2B5EF4-FFF2-40B4-BE49-F238E27FC236}">
                  <a16:creationId xmlns:a16="http://schemas.microsoft.com/office/drawing/2014/main" id="{BCD73785-0DF5-21EA-A0A3-F8C56532775C}"/>
                </a:ext>
              </a:extLst>
            </xdr14:cNvPr>
            <xdr14:cNvContentPartPr/>
          </xdr14:nvContentPartPr>
          <xdr14:nvPr macro=""/>
          <xdr14:xfrm>
            <a:off x="11203800" y="4330320"/>
            <a:ext cx="1192320" cy="1310040"/>
          </xdr14:xfrm>
        </xdr:contentPart>
      </mc:Choice>
      <mc:Fallback>
        <xdr:pic>
          <xdr:nvPicPr>
            <xdr:cNvPr id="6" name="Рукописный ввод 5">
              <a:extLst>
                <a:ext uri="{FF2B5EF4-FFF2-40B4-BE49-F238E27FC236}">
                  <a16:creationId xmlns:a16="http://schemas.microsoft.com/office/drawing/2014/main" id="{BCD73785-0DF5-21EA-A0A3-F8C56532775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195160" y="4276320"/>
              <a:ext cx="1209960" cy="141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183840</xdr:colOff>
      <xdr:row>21</xdr:row>
      <xdr:rowOff>239640</xdr:rowOff>
    </xdr:from>
    <xdr:to>
      <xdr:col>32</xdr:col>
      <xdr:colOff>242400</xdr:colOff>
      <xdr:row>24</xdr:row>
      <xdr:rowOff>173040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">
          <xdr14:nvContentPartPr>
            <xdr14:cNvPr id="9" name="Рукописный ввод 8">
              <a:extLst>
                <a:ext uri="{FF2B5EF4-FFF2-40B4-BE49-F238E27FC236}">
                  <a16:creationId xmlns:a16="http://schemas.microsoft.com/office/drawing/2014/main" id="{6E9B3A08-917A-2040-D655-42292A4178D0}"/>
                </a:ext>
              </a:extLst>
            </xdr14:cNvPr>
            <xdr14:cNvContentPartPr/>
          </xdr14:nvContentPartPr>
          <xdr14:nvPr macro=""/>
          <xdr14:xfrm>
            <a:off x="10851840" y="8240640"/>
            <a:ext cx="1582560" cy="1076400"/>
          </xdr14:xfrm>
        </xdr:contentPart>
      </mc:Choice>
      <mc:Fallback>
        <xdr:pic>
          <xdr:nvPicPr>
            <xdr:cNvPr id="9" name="Рукописный ввод 8">
              <a:extLst>
                <a:ext uri="{FF2B5EF4-FFF2-40B4-BE49-F238E27FC236}">
                  <a16:creationId xmlns:a16="http://schemas.microsoft.com/office/drawing/2014/main" id="{6E9B3A08-917A-2040-D655-42292A4178D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843200" y="8186640"/>
              <a:ext cx="1600200" cy="11840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31</xdr:col>
      <xdr:colOff>190500</xdr:colOff>
      <xdr:row>33</xdr:row>
      <xdr:rowOff>196850</xdr:rowOff>
    </xdr:from>
    <xdr:to>
      <xdr:col>32</xdr:col>
      <xdr:colOff>209550</xdr:colOff>
      <xdr:row>34</xdr:row>
      <xdr:rowOff>196850</xdr:rowOff>
    </xdr:to>
    <xdr:sp macro="" textlink="">
      <xdr:nvSpPr>
        <xdr:cNvPr id="12" name="Прямоугольник 11">
          <a:extLst>
            <a:ext uri="{FF2B5EF4-FFF2-40B4-BE49-F238E27FC236}">
              <a16:creationId xmlns:a16="http://schemas.microsoft.com/office/drawing/2014/main" id="{B1B4861D-A3A0-4BF9-BD13-71FC044DC22A}"/>
            </a:ext>
          </a:extLst>
        </xdr:cNvPr>
        <xdr:cNvSpPr/>
      </xdr:nvSpPr>
      <xdr:spPr>
        <a:xfrm flipV="1">
          <a:off x="12001500" y="12769850"/>
          <a:ext cx="400050" cy="381000"/>
        </a:xfrm>
        <a:prstGeom prst="rect">
          <a:avLst/>
        </a:prstGeom>
        <a:noFill/>
        <a:ln>
          <a:prstDash val="dash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30</xdr:col>
      <xdr:colOff>165100</xdr:colOff>
      <xdr:row>43</xdr:row>
      <xdr:rowOff>209550</xdr:rowOff>
    </xdr:from>
    <xdr:to>
      <xdr:col>32</xdr:col>
      <xdr:colOff>228600</xdr:colOff>
      <xdr:row>44</xdr:row>
      <xdr:rowOff>209550</xdr:rowOff>
    </xdr:to>
    <xdr:sp macro="" textlink="">
      <xdr:nvSpPr>
        <xdr:cNvPr id="13" name="Прямоугольник 12">
          <a:extLst>
            <a:ext uri="{FF2B5EF4-FFF2-40B4-BE49-F238E27FC236}">
              <a16:creationId xmlns:a16="http://schemas.microsoft.com/office/drawing/2014/main" id="{49D30960-1331-4229-9DB2-1CE1ACCA07C8}"/>
            </a:ext>
          </a:extLst>
        </xdr:cNvPr>
        <xdr:cNvSpPr/>
      </xdr:nvSpPr>
      <xdr:spPr>
        <a:xfrm flipV="1">
          <a:off x="11595100" y="16592550"/>
          <a:ext cx="825500" cy="381000"/>
        </a:xfrm>
        <a:prstGeom prst="rect">
          <a:avLst/>
        </a:prstGeom>
        <a:noFill/>
        <a:ln>
          <a:prstDash val="dash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29</xdr:col>
      <xdr:colOff>151920</xdr:colOff>
      <xdr:row>55</xdr:row>
      <xdr:rowOff>196320</xdr:rowOff>
    </xdr:from>
    <xdr:to>
      <xdr:col>32</xdr:col>
      <xdr:colOff>177120</xdr:colOff>
      <xdr:row>55</xdr:row>
      <xdr:rowOff>196680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">
          <xdr14:nvContentPartPr>
            <xdr14:cNvPr id="15" name="Рукописный ввод 14">
              <a:extLst>
                <a:ext uri="{FF2B5EF4-FFF2-40B4-BE49-F238E27FC236}">
                  <a16:creationId xmlns:a16="http://schemas.microsoft.com/office/drawing/2014/main" id="{28DC1356-984B-84D1-9676-34125CF4098F}"/>
                </a:ext>
              </a:extLst>
            </xdr14:cNvPr>
            <xdr14:cNvContentPartPr/>
          </xdr14:nvContentPartPr>
          <xdr14:nvPr macro=""/>
          <xdr14:xfrm>
            <a:off x="11200920" y="21151320"/>
            <a:ext cx="1168200" cy="360"/>
          </xdr14:xfrm>
        </xdr:contentPart>
      </mc:Choice>
      <mc:Fallback>
        <xdr:pic>
          <xdr:nvPicPr>
            <xdr:cNvPr id="15" name="Рукописный ввод 14">
              <a:extLst>
                <a:ext uri="{FF2B5EF4-FFF2-40B4-BE49-F238E27FC236}">
                  <a16:creationId xmlns:a16="http://schemas.microsoft.com/office/drawing/2014/main" id="{28DC1356-984B-84D1-9676-34125CF409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1192280" y="21097680"/>
              <a:ext cx="118584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89400</xdr:colOff>
      <xdr:row>51</xdr:row>
      <xdr:rowOff>246120</xdr:rowOff>
    </xdr:from>
    <xdr:to>
      <xdr:col>32</xdr:col>
      <xdr:colOff>183960</xdr:colOff>
      <xdr:row>55</xdr:row>
      <xdr:rowOff>196680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">
          <xdr14:nvContentPartPr>
            <xdr14:cNvPr id="16" name="Рукописный ввод 15">
              <a:extLst>
                <a:ext uri="{FF2B5EF4-FFF2-40B4-BE49-F238E27FC236}">
                  <a16:creationId xmlns:a16="http://schemas.microsoft.com/office/drawing/2014/main" id="{A535ED35-365C-DA40-8C33-0946E4E722BF}"/>
                </a:ext>
              </a:extLst>
            </xdr14:cNvPr>
            <xdr14:cNvContentPartPr/>
          </xdr14:nvContentPartPr>
          <xdr14:nvPr macro=""/>
          <xdr14:xfrm>
            <a:off x="10757400" y="19677120"/>
            <a:ext cx="1618560" cy="1474560"/>
          </xdr14:xfrm>
        </xdr:contentPart>
      </mc:Choice>
      <mc:Fallback>
        <xdr:pic>
          <xdr:nvPicPr>
            <xdr:cNvPr id="16" name="Рукописный ввод 15">
              <a:extLst>
                <a:ext uri="{FF2B5EF4-FFF2-40B4-BE49-F238E27FC236}">
                  <a16:creationId xmlns:a16="http://schemas.microsoft.com/office/drawing/2014/main" id="{A535ED35-365C-DA40-8C33-0946E4E722B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748760" y="19623480"/>
              <a:ext cx="1636200" cy="15822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30</xdr:col>
      <xdr:colOff>165100</xdr:colOff>
      <xdr:row>63</xdr:row>
      <xdr:rowOff>196850</xdr:rowOff>
    </xdr:from>
    <xdr:to>
      <xdr:col>32</xdr:col>
      <xdr:colOff>228600</xdr:colOff>
      <xdr:row>65</xdr:row>
      <xdr:rowOff>209550</xdr:rowOff>
    </xdr:to>
    <xdr:sp macro="" textlink="">
      <xdr:nvSpPr>
        <xdr:cNvPr id="21" name="Прямоугольник 20">
          <a:extLst>
            <a:ext uri="{FF2B5EF4-FFF2-40B4-BE49-F238E27FC236}">
              <a16:creationId xmlns:a16="http://schemas.microsoft.com/office/drawing/2014/main" id="{3FEB92CD-783B-4539-9874-68CA4EF8C8BE}"/>
            </a:ext>
          </a:extLst>
        </xdr:cNvPr>
        <xdr:cNvSpPr/>
      </xdr:nvSpPr>
      <xdr:spPr>
        <a:xfrm flipV="1">
          <a:off x="11595100" y="24199850"/>
          <a:ext cx="825500" cy="774700"/>
        </a:xfrm>
        <a:prstGeom prst="rect">
          <a:avLst/>
        </a:prstGeom>
        <a:noFill/>
        <a:ln>
          <a:prstDash val="dash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28</xdr:col>
      <xdr:colOff>196320</xdr:colOff>
      <xdr:row>71</xdr:row>
      <xdr:rowOff>151200</xdr:rowOff>
    </xdr:from>
    <xdr:to>
      <xdr:col>32</xdr:col>
      <xdr:colOff>286200</xdr:colOff>
      <xdr:row>75</xdr:row>
      <xdr:rowOff>204360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">
          <xdr14:nvContentPartPr>
            <xdr14:cNvPr id="23" name="Рукописный ввод 22">
              <a:extLst>
                <a:ext uri="{FF2B5EF4-FFF2-40B4-BE49-F238E27FC236}">
                  <a16:creationId xmlns:a16="http://schemas.microsoft.com/office/drawing/2014/main" id="{0D4B32BE-30BB-0E65-ED1A-446EFD992987}"/>
                </a:ext>
              </a:extLst>
            </xdr14:cNvPr>
            <xdr14:cNvContentPartPr/>
          </xdr14:nvContentPartPr>
          <xdr14:nvPr macro=""/>
          <xdr14:xfrm>
            <a:off x="10864320" y="27202200"/>
            <a:ext cx="1613880" cy="1577160"/>
          </xdr14:xfrm>
        </xdr:contentPart>
      </mc:Choice>
      <mc:Fallback>
        <xdr:pic>
          <xdr:nvPicPr>
            <xdr:cNvPr id="23" name="Рукописный ввод 22">
              <a:extLst>
                <a:ext uri="{FF2B5EF4-FFF2-40B4-BE49-F238E27FC236}">
                  <a16:creationId xmlns:a16="http://schemas.microsoft.com/office/drawing/2014/main" id="{0D4B32BE-30BB-0E65-ED1A-446EFD992987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855680" y="27148200"/>
              <a:ext cx="1631520" cy="168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176160</xdr:colOff>
      <xdr:row>81</xdr:row>
      <xdr:rowOff>151680</xdr:rowOff>
    </xdr:from>
    <xdr:to>
      <xdr:col>32</xdr:col>
      <xdr:colOff>210960</xdr:colOff>
      <xdr:row>84</xdr:row>
      <xdr:rowOff>185520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">
          <xdr14:nvContentPartPr>
            <xdr14:cNvPr id="26" name="Рукописный ввод 25">
              <a:extLst>
                <a:ext uri="{FF2B5EF4-FFF2-40B4-BE49-F238E27FC236}">
                  <a16:creationId xmlns:a16="http://schemas.microsoft.com/office/drawing/2014/main" id="{F820DC7C-AC7B-F53D-B245-3E5A94476BA6}"/>
                </a:ext>
              </a:extLst>
            </xdr14:cNvPr>
            <xdr14:cNvContentPartPr/>
          </xdr14:nvContentPartPr>
          <xdr14:nvPr macro=""/>
          <xdr14:xfrm>
            <a:off x="10844160" y="31012680"/>
            <a:ext cx="1558800" cy="1176840"/>
          </xdr14:xfrm>
        </xdr:contentPart>
      </mc:Choice>
      <mc:Fallback>
        <xdr:pic>
          <xdr:nvPicPr>
            <xdr:cNvPr id="26" name="Рукописный ввод 25">
              <a:extLst>
                <a:ext uri="{FF2B5EF4-FFF2-40B4-BE49-F238E27FC236}">
                  <a16:creationId xmlns:a16="http://schemas.microsoft.com/office/drawing/2014/main" id="{F820DC7C-AC7B-F53D-B245-3E5A94476BA6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0835520" y="30959040"/>
              <a:ext cx="1576440" cy="1284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01T05:10:40.172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0 780,'3'0,"4"0,4 0,3 0,2 0,1 0,2 0,-1 0,3 0,2 0,-1 0,-1 4,-1 0,-1 0,-1-1,0-1,0-1,-1 0,-3 3,3-1,1 1,0-1,3 2,2 0,2 0,3-2,3-1,2-1,4 0,0-1,1 3,1 0,0 1,-1-1,-1-1,-1-1,3 0,-2-1,1 3,0 1,0-1,3 3,-1 0,0-1,2-1,-1-2,0 0,-2-2,1 0,1 0,-1 0,1 0,-3 3,1 1,-3 0,2-1,2-1,-2-1,2 0,6-1,-2 0,3 3,3 1,2 0,-1-1,1 2,-1 0,-3-1,-2 0,4-2,-3 2,-1 0,3 0,3-1,-1-1,5-1,2 3,1 0,-5 0,-1-2,-2 3,-3 1,-3-2,-1-1,-2-1,-2-1,1 0,0-1,2 0,2 0,-3 0,0-1,2 1,-3 0,0 0,-4 0,-5 0,-2 0,-4 0,-2 0,-3 0,-2 0,-1 0,0 0,-1 0,0 0,0 0,3 0,2 0,-1 0,2 0,1 0,2 0,3 0,1 0,0 0,1 0,-3 0,-3 0,1 0,-1 0,1 0,-2 6,-3 5,-4 4,-3 8,-5 3,-4 4,-3-1,-1 0,-2 6,1-2,-1-3,0 0,0-2,1-1,0-1,0 1,0-2,0-1,0 1,0-1,0-2,0-1,0-1,0 2,0 0,0-1,0-1,0 0,0 2,0 0,0-1,0 0,0-1,0-2,0 1,0-2,0 1,-3-4,-4-3,-4-4,-3-4,-2-1,-2-2,0 0,0-1,-4 0,-3 0,-7 1,-3 0,-6 0,-7-1,-8-2,-9 0,-9-1,-9-8,-6-2,-3-2,-13-4,-3 1,-1 1,2 1,5-3,11 2,8 4,7 4,10 4,8 0,4 2,5 0,6-1,0-1,5 2,0 1,-3-2,3 0,2 0,-2 2,2 1,2 1,0 0,3 1,1-3,2-1,-2 1,-3 0,1 1,1 1,-1 0,2 1,0 0,2 0,1 0,-3 0,2 0,0 1,1-1,-4 0,-2 0,1 0,0 0,0 0,-1 0,-1 0,0 0,-1 0,0 0,2 0,2 0,2 0,1 0,-2 0,2 0,0 0,-2 0,1 0,4 0,1 0,3 0,2 0,1 0,0 0,1 0,0 0,0 0,0 0,-1 0,4 0,3 3,4 4,3 4,3 5,0 7,2 3,0 5,2 6,2 7,3 4,-1 3,-1 5,-1 2,-2 6,-2 10,0 2,-1-1,0 3,0-1,-1-3,1-1,0-3,0-1,0-1,0-5,0-5,0-4,0-1,-3-4,-1 2,0 1,1-3,1 4,-3 0,1-2,-1 2,2 2,1-1,1-3,-3-4,0-1,0-2,1-6,2-7,-1-4,2-5,0-3,0-2,0 0,-3-1,-1 1,1 3,3-2,8-4,5-5,7-3,9-3,2-2,6-1,4-1,5 0,1 1,1-1,-5 1,0-1,1 1,-4 0,1 0,2 0,-1 0,2 0,0 0,1 0,2 0,-1 0,0 0,-1 0,1 0,-2 0,-2 0,0 0,-3 0,-3 0,-1 0,-1 0,1 0,-4 0,2 0,2 0,-2 0,-1 0,0 0,-2 3,-1 1,-1 0,-3 2,-3 0,-2-1,-2-1,0-2,-1 0,0-2,-2-3,-5-4,-3-4,-4-3,-1-2,-2-1,0-2,-1 1,0 0,0-1,1 1,0 0,0 0,-1 1,1-4,0 0,0-4,1-3,-1 1,0 1,0 0,0-3,0-1,0-3,0-1,0 3,0-1,0 3,0 4,0-1,0 2,0-2,0-2,0 1,0-1,0 1,0-1,0-4,0-1,0-2,0 1,0 0,-4-3,0-4,0 2,-2-2,0-2,1 2,1 0,2 1,-3-2,1-3,0-6,-2-3,0-4,1-5,2-3,0-5,2-1,1-1,0-2,0-2,0-1,0-1,0-3,1-2,-1-8,0-10,0-4,0 2,0-1,3-1,4 9,0 8,0 11,-2 7,-1 8,1 10,0 5,-1 4,-1 4,-1 0,-1 0,-1-1,0 2,0 3,0 1,0 3,-1 5,1 3,0 4,0 1,0 1,0-5,3 2,4 3,4 6,3 4,2 4,2 2,0 2,0 1,4 0,3 0,1 0,-1-1,-2 1,-2-1,-1 0,-2 0,0 0,0 0,-1 0,3 0,1 3,1 1,1-1,1 0,2-1,2 0,0-1,-2-1,-3 0,-1 0,0 0,1-1,-2 1,-1 0,-3 3,-6 4,-4 4,-3 3,-2 2,-2 1,-1 1,0 1,0-1,0 7,1 1,0 5,-1 1,1 4,0 4,0 11,0 6,-2 2,-2 8,-3 3,0 1,-2 10,1-1,1 8,2 4,2-2,2-2,0 0,1 0,1-3,-1 2,0 1,-2 6,-2 0,0 2,1-1,1-5,1-1,0-6,1-3,0-8,0-6,0-5,-3-11,-1-7,0-8,1-8,1-1,1-3,0 1,0 2,1 0,-2 2,-2 1,0 0,-2 0,0-1,-2-3,1 0,0-1,3-1,-2-2,1-1,1-2,0 0,3 0,0-1,0 0,1-2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01T11:35:13.367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3256 177,'-6'0,"-5"0,-6 0,-4 0,-1 0,-3 0,-6 0,-1 0,-1 0,-4 0,-1 0,-4 0,-3 0,-3 0,0 0,0 0,4 0,2 0,4 0,0-3,-3-1,3 0,-1 1,-4 1,-5-2,-1-1,-2 1,-3 1,4-2,1 0,1 0,5 2,4 1,-1 1,4 0,-1-2,0-1,0 1,0-3,-2 0,-1-2,0 0,-1 2,0-2,-3 2,1-3,5 2,-1 1,1-1,3 0,0 2,-2 2,4 0,1-1,0 0,-1 0,0 2,2 0,-3 1,-1 0,2 1,-3 0,0 0,-1 1,1-1,2 0,-1 0,-1 0,3 0,0 0,1 0,2 0,1 0,-1 0,-2 0,2 0,3 0,0 0,2 0,2 0,2 0,-2 0,-2 0,-1 0,2 0,1 0,0 0,-1 0,2 0,-2 0,1 0,0 0,2 0,1 0,1 0,4 3,8 4,4 4,6 2,6 3,1 2,2 0,-1 0,-3 4,-2 0,-2 3,0 3,1 0,-1 1,-2 1,3 2,0 2,-1-3,-1 1,-1-1,-1-1,0-4,-1-2,0-3,-1 1,1 3,0 0,0-1,0 1,0 3,0-1,0-2,0 1,0-1,0-2,0-1,0-3,0 0,0-1,0 2,0 2,0-1,0-1,0 0,0-1,0-1,0 0,0-1,0 1,3-4,4-3,4-5,2-2,4-2,3-2,5-1,1 0,0 1,0-1,0 1,-3-1,2 1,0 0,0-3,0-1,2 0,5 1,-1 1,2 1,3 0,6 1,-3 0,-1 0,-4 0,-5 0,-5 1,-3-1,1 0,0 0,-1 0,-2 0,0 0,0 0,1 0,5 0,0 0,0 0,-3 0,-1 0,-1-3,-1-1,-2 0,1 1,-1 1,1 0,-1 2,-3 2,-3 5,-4 4,-3 3,-3 3,-4 0,-1 1,-1 1,2 2,-3 5,0 2,1 1,1 1,2-2,1 1,0 1,1-1,0-3,0-3,1 1,-1-1,0-1,0-1,0 1,0 1,0-2,0 0,0-2,0 3,0 3,0 4,-3-1,-1-2,0-1,1-4,1-1,1 2,0-1,1 1,0-2,0-1,0 3,0 0,0-1,1 0,-1-1,0-1,0-1,0 3,0 0,0 0,0 0,0-1,0-2,0 1,3-4,4-5,4-3,5-3,4-3,2-1,2-3,3-5,1-1,4-1,2-3,2-2,1 2,3 0,0 2,-2 0,-3-1,-2-1,-2 0,-1 4,-3 0,-2 1,-3 3,-3 1,0 2,-1 1,-1 1,0 0,0 1,0-1,1 1,-1-1,1 6,-1 5,1 7,-4 8,0 13,0 6,4 12,-2 7,0 3,0 3,1 2,0 0,0-3,-3-8,-3-4,-1-3,-3-6,2-3,-2-2,2-5,-2 1,-1 2,-2-3,-2 2,0-1,-2-3,0-3,0-3,-1-4,1-3,0-3,0-2,-1 0,1-2,0 1,0 0,0 0,0 1,0-1,4-2,3-5,4-3,2-3,3-3,2 0,0-5,3 0,2-4,2-3,3-2,3 0,2 3,4 3,0 0,1 1,4 1,-2 2,-2 1,-2-1,-3-1,-2 0,0-2,-2 0,-1 2,-4-3,-1 1,3 1,-2 1,0 2,-3 1,-1 0,-1 1,3 0,-1 1,0-1,0 0,-2 0,0 0,-1 0,0 0,0 0,-4-3,-4-4,-3-4,-3-2,-3-4,-1 0,0-4,-1-1,0-4,1-5,-1-1,1-4,0-5,0-1,0-3,0-2,0 3,0 0,0 0,0 0,-3 2,-1-1,0 1,1-2,1-2,-2 4,-1 0,1-2,1 1,1-2,-2-2,-1-2,1 1,-2 1,0-2,1 2,2 0,0 1,-1 4,0-1,0-2,1 1,1-5,-2-2,-1 1,1 1,1-1,1 5,1 1,0-1,1 5,0 2,0 0,0 2,1 2,-1-3,-3-3,-1 1,0 2,1 1,-2 4,0-2,-3-1,1-1,1 0,2 0,1 0,2-2,0-2,1 4,0 5,0 4,1 1,-1 2,0 2,0 2,0 1,0 1,0 1,0-1,0 1,0 0,0 0,0-1,0 1,0-1,0 0,0 1,0-1,0 0,0 1,0-1,0 0,0 1,0-1,0 1,0-1,0 0,0 1,0-1,0 0,0 1,0-1,0 3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01T11:42:31.547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1 1081,'0'-4,"0"-3,0-4,0-2,0-3,0-5,0-7,0-2,0-2,0 1,0-2,0-3,0 3,0 0,0-3,0-4,0 2,0-2,0-1,0 5,0-1,0 3,0 3,0 3,0 1,0 4,0 2,0 1,0 2,0 1,0-1,0 1,0 0,0 0,0-1,0 1,0-1,0 1,0-1,0 0,0 1,0-1,0 1,0 2,3 4,3 4,5 3,3 3,5 0,3 2,2 0,2-1,-2 1,-1-1,-2 1,2-1,-1 0,3 0,-1 0,3 0,1 0,3 0,2 0,7 0,1 0,4 0,4 0,5 0,0 0,-3 0,-4 0,-2 0,-2 0,-2 0,0 0,3 0,0 0,1 0,5 0,3 0,-1 3,-1 1,0 0,-3-1,0 3,0-1,-4-1,-5 0,1 1,0 0,-2-1,-1 0,0-2,-1-1,-4-1,2 0,5 3,-3 1,3-1,3 0,-2-1,1 0,-1 1,-1 1,-1 0,2-1,-3-1,-1-1,-5 0,3-1,0 0,-2 0,0 0,3 0,-2-1,1 1,-1 0,1 0,3 0,-1 0,1 0,2 0,-4 0,-1 0,-1 0,0 0,0 0,2 0,-1 0,4 0,1 0,0 0,3 0,-1 0,3 0,-4 0,-3 0,2 0,-3 0,-1 0,1 0,-1 0,-1 0,-4 0,0 0,1 0,-3 0,1 0,-3 0,2 0,1 0,-1 0,-2 0,-3 0,0 0,4 0,-1 0,1 0,-1 0,-1 0,-3 0,-1 0,-2 0,-1 0,-1 0,1 0,-1 0,0 0,1 0,-1 0,0 0,1 0,0 0,-1 0,1 0,0 0,-1 0,-2 3,-5 4,-3 4,-3 3,-2 2,-2 2,-1 3,1 4,-1 4,0 3,1 3,-1 3,-2 2,-4 3,-1 3,-1 6,0-3,1-1,0 0,1-1,2-1,-2 2,1-2,1-2,-1-1,0 0,-2-2,0 0,-1 1,1 1,2-1,1 5,0 3,-1 6,-1 7,-3 6,-3 9,-4 6,-1 1,4-3,1-8,2-8,1-7,2-10,1-7,4-5,-2-6,-3-2,0 0,1-2,-1 1,1-2,1 1,3 2,0-2,2 2,1-2,0 1,0-2,0-2,1-2,-1-1,0-3,0 0,0 0,0-1,0 0,0 0,0 1,0-1,0 1,0-1,0 1,0 0,0-1,0 1,0-1,0 1,0 0,0-1,0 1,0 0,0-1,0 1,-3-3,-7-5,-10-3,-6-3,-4-2,-2-2,-3-3,-4-2,-4-3,-1 0,1 2,-1-2,4 1,2-2,0 2,2 1,2 1,0 0,1 0,-1-3,0 1,2 2,1 1,3 1,2 2,4 0,2 1,1 1,2-1,0 0,0 0,-1 1,1-1,0 0,0 0,-1 0,3-3,5-4,3-4,3-3,2-2,2-5,0-4,1-4,0 0,0-4,-1-3,0 2,0-2,1-1,-1 3,0 0,0 5,-1-1,1 4,0 1,0 4,0 1,0 2,0 0,0 1,0 0,0-1,0 1,0 0,0-1,0 1,0-1,0 1,0-1,0 0,0 1,0-1,-3 4,-3 3,-5 4,-3 3,-2 3,-1 1,-4 0,-5 1,-3 0,-3-1,-5 1,-3-1,1 0,0 0,0 0,-1 0,3 0,1 0,-2 0,3 0,1-3,3-1,4 0,1 1,-1-3,-3 1,2-2,2-1,-1 2,2-1,2 0,1 2,3 2,0 0,1 2,1 1,-1 0,4-3,4-3,3-5,4-3,1-2,2-1,0-4,1-4,0-2,0 2,-1-1,0 0,0 0,1 0,-1 2,0-1,0 1,-1-2,1 1,0 2,0-2,0 1,0 1,0-1,0 0,-3 2,-1 0,1 3,0-3,1-3,0-1,1 2,1 2,0 1,0 1,0 2,1 0,-1 0,0 1,0 0,0-1,-3 4,-4 3,-4 5,-3 2,-5 2,-2 2,-4-3,-1 0,-1 0,-3 1,-2 0,-1 1,-2 0,3 1,0 0,4 0,-1 0,2-2,3-2,2 0,0 1,-1 1,1 1,2 0,1 1,-3 0,0 0,1 0,0 0,2 0,3 0,2 0,-3 0,-2 0,-3 0,-1 0,0 0,2 0,0 0,-1 0,-1 0,2 0,0 0,-2 0,-2 0,-1 0,-2 0,1 0,0 0,0 0,3 0,-2 0,2 0,1 0,2 0,1 0,2 0,0 0,3-3,2-1,-3 1,0-3,1-1,0 2,-1-1,-1-1,0 2,-3 1,-2 2,1 1,-3 0,3-2,2-1,2 1,0 0,-3 1,-1 1,0 0,1 1,0 0,1 0,1 0,0 0,1 0,-1 0,0-3,1 0,-1-1,1 1,-1 1,1 0,-1 4,0 2,4 3,0 0,3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01T11:55:58.862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1 1,'3'0,"4"0,4 0,6 0,3 0,1 0,0 0,3 0,-1 0,0 0,-1 0,-2 0,2 0,3 0,3 0,4 0,1 0,2 0,1 0,-3 0,-2 0,2 0,-4 0,1 0,-3 0,4 0,2 0,1 0,2 0,3 0,-2 0,1 0,4 0,-2 0,-2 0,-2 0,-1 0,0 0,-3 0,-1 0,-3 0,3 0,2 0,-2 0,1 0,0 0,1 0,0 0,-1 0,-2 0,5 0,-2 0,3 0,2 0,-4 0,-1 0,1 0,-1 0,1 0,-3 0,0 0,-3 0,0 0,1 0,-1 0,0 0,-1 0,-2 0,0 0,-1 0,-1 0,-2 0,-1 0,1 0,1 0,2 0,1 0,-2 0,2 0,-1 0,2 0,3 0,-2 0,-1 0,-3 0,-2 0,-1 0,-2 0,0 0,-1 0,0 0,3 0,2 0,-1 0,2 0,1 0,-1 0,1 0,0 0,-1 0,2 0,-1 0,1 0,3 0,0 0,-2 0,-3 0,-2 0,-1 0,-2 0,0 0,-1 0,0 0,0 0,1 0,-1 0,1 0,-1 0,1 0,-1 0,1 0,0 0,-1 0,1 0,-3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01T11:56:08.351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4496 4096,'0'-6,"0"-5,0-9,0-11,0-6,0-3,0-3,0 0,-3-3,-1-1,1 3,-3-2,-1-3,-1-4,0-6,2 1,1-1,2 0,-1 5,-1 1,2 2,0 3,1 4,-2 0,0 2,0 2,1-2,1 4,1 0,0-4,1 0,0-2,0-2,0 3,1 0,-1-1,-3 0,-1 2,0 2,1 5,-2 0,0-1,0 0,-1 0,0 0,1 0,-2 1,1-3,-2 1,0 2,2-5,2-3,1-2,2-2,0 0,1-1,0-1,1 2,-1 0,0 2,0 2,1 3,-1-1,0 4,0-2,0 4,0 2,0-4,0 3,0-2,0-2,0 1,0-1,0 5,0 1,0 0,0 2,0 1,0 2,0 3,0-1,0 1,0 1,0 3,0-3,0 1,0 0,0 1,0 2,0 0,0-2,0-1,0 1,0 1,0-3,0-3,3 0,1-2,2-2,2 2,1-2,-1 0,-1 0,-2 1,1-2,-1 3,-1 1,-1 4,2 2,0 2,-1 1,-1 0,-1 1,-1 0,0 0,-1 0,-3 3,-4 3,-4 4,-3 4,-3 1,0 2,-1 0,-1 1,1 0,0-1,0 1,0-1,0 0,0 0,-3 0,-6 0,-2 0,-6 0,-8 0,-11 0,-13 0,-6 0,-6 0,-5 0,-2 0,-2 3,-7 1,-6 3,0 0,-4-1,7-2,5-1,6-1,6 1,5 2,9-2,4 0,1-1,5-1,0-1,-2 1,-3-2,-1 1,3 0,-2 0,2 0,1 3,-3 1,-2-1,3 0,1 0,3 1,2 1,-2-1,0-1,0-1,-1-1,-4 0,3 2,0 1,1 0,-2-1,3 2,2 0,0-1,1 0,3-2,-1-1,4 0,-3-1,-1 0,2-1,4 1,0 0,2 0,3 0,-1 0,1 0,1 0,2 0,4 0,2 0,3 0,4 0,3 0,2 0,5 3,4 3,8 2,7 2,6 5,4 7,0 1,0 1,-2-1,0-1,-2-2,-3-1,-2-1,-3 0,-1-1,-1 1,3 2,1 2,-1-1,0-1,-1 0,2-1,0 0,0-1,0-1,-2 1,-1-1,-1 1,0-1,0 1,0-1,0 1,0-1,0 1,0 0,0-1,0 4,0 1,0-1,0 0,0-1,0-1,0-1,0 0,0 0,0-1,0 1,3-4,3-3,5-5,3-2,2-2,1-5,5-2,0-2,3-1,4 1,-1 3,-2 0,-3 3,-1 0,1 1,-1 0,0 0,-2 1,-1-1,0 0,2 0,-2-3,-2-1,0 1,-1 0,1 0,0 2,0 0,0 1,1 0,-1-3,1-1,0 0,-1 1,1 1,0 1,-1 0,1 1,0 0,-1 0,1 0,-1 0,1-3,0-1,2 1,2-3,-1 0,0 0,-1 3,-1 0,-1 2,0 0,0 1,2 0,2 1,-1-4,3-1,-1 1,3 0,0 1,-3 0,-1 1,-1 1,-2 0,-1 0,0 0,-1 1,-2 2,-5 4,-4 4,-2 2,-3 7,0 4,-2 5,0 3,1 3,-1 0,0 4,1 5,0-3,0 1,0-1,0 2,0-1,0-4,0-3,0-1,0-3,0 1,0-1,0 0,0 4,0-1,0 2,0 2,0-3,0-2,0-3,0 0,0 3,0-1,0-3,0-3,0 0,0 1,0 0,0 0,0-1,0-1,0 3,0 0,0 1,0 0,0 2,0 3,0 2,0 0,0 0,0-3,0-1,0 0,0-2,0-1,0 1,0 2,0-2,0 0,0-3,0 1,0-1,0-3,0 1,0-1,0-2,0 2,0 0,0 1,0 0,0-1,3 0,1 1,0-3,-1 3,2-4,1 0,-2 0,0 0,-2-2,-1 0,0 0,-1-1,0-1,0 1,-1-1,1 1,0-1,0 1,0-1,0 1,0-1,0 1,0 3,0 0,0 4,0 0,0 1,0 0,0 2,0 1,0 2,0-1,0 1,0 0,0-2,0-2,0-4,0-2,0-2,0 0,0-2,0 0,0 0,0 0,0 0,0 1,0-1,0 1,0-1,0-2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01T12:06:02.543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1 126,'0'3,"0"4,0 4,0 3,0 2,0 2,0 0,0 0,0 0,0 1,0-1,0 0,0 0,0 2,0 5,0 3,0 4,0 1,0 2,0-2,0 2,0 1,0-2,0-1,0-1,0 1,0-2,0-4,0 0,0 1,0-1,0-2,0 1,0-2,0 2,0-1,0-1,0-3,0-1,0-1,0-1,0 0,0-1,0 0,3-2,4-5,4-3,3-4,2-1,1-2,4 0,2-1,-1 0,2 0,4 1,-1 0,1 0,2-4,2 0,-1 1,-1 0,-2 1,1 0,0-1,0-2,-1 2,3-3,0 0,-1 1,-3 1,-3 2,1-2,-2-1,2 1,0 1,-2 1,-2 1,-1 1,-1 0,-1 0,0 0,-4 3,-3 4,-2 4,-1 3,-3 2,-2 4,-1 5,-2 2,0-2,0 1,0 0,-1 1,1 5,3 0,0 3,1 6,-1 0,-1 1,0 4,1-2,2 0,-2 2,0-2,-1 2,-1 2,0-2,-1 1,0 1,0-2,0 1,0 1,0-2,-1 4,1 2,0-2,0 3,0-2,0-6,0-2,0-3,0-4,0 0,0 0,0-3,0-1,0-3,0-1,0 4,0 0,0 1,0-4,0 1,0 0,0-1,0-3,0-3,0-2,0 1,0 0,0-1,0 0,0-2,0-1,0 0,0 0,0 0,0-1,0 3,0 5,0 3,0 4,0 1,0-1,0-3,0-1,0-1,0-1,0 3,0-2,0-2,0 1,3-1,1-2,0 1,-1 0,-1-2,0-1,-2-1,1-1,-1 2,0 0,3-2,0-3,1 0,-1 0,0 0,-2 0,0 1,-1 0,0 1,0-1,0 1,0 0,-1-1,1 1,0 0,0-1,0 1,0 0,0-1,0 1,0 0,0-1,0 1,0 0,0-1,3-2,4-5,4-3,3-3,2-3,1 0,1-2,1 0,-1 1,0-1,0 0,0 1,0-3,0-1,-1 0,1 1,0 1,-1 1,1 0,0 1,-1 0,1 0,-1 0,1 0,0 0,-1 1,1-1,0 0,-1 0,1 0,-1 0,1 0,0 0,-1 0,-2-3,2-1,1 0,0 1,3 1,2 0,-1 2,-1-1,-1 1,-1 0,0 1,-1-1,-1 0,1 0,-1 0,-2-3,-2-1,1 0,0 1,2 1,0 1,1 0,0 1,1 0,0 0,-1 0,-2-3,-4-3,-1-5,-2-6,-2-6,0-5,0-7,-2-7,2-4,0-2,-2 3,3-1,-1 2,-2 2,0 2,-2-1,-1-2,0-1,-1-1,0-2,-1-5,1-3,0 0,0-1,0 1,0 0,0 1,0 3,0 2,0 0,0-1,0 2,0-2,0 1,0 3,0 0,0 2,0-1,0 2,0 2,0 2,0-2,0 4,0 1,0 5,0 1,0 0,0-2,0 3,0 3,0 2,0 0,0 1,0 1,0 2,0-3,0 1,0 0,0 2,0 0,0 1,0 1,0 0,0 1,0 0,0 5,3 6,7 3,7 2,8 2,2 0,3 0,-2 0,5 0,5 0,2-1,6 0,1 0,0 0,-1 0,5 0,-4 0,0 0,0 0,-4 0,-1 0,-2 0,-1 0,2 0,-1 0,0 0,4 0,1 0,-1 0,1 0,-1 0,-3 0,2 0,-4 0,0 0,0 0,-1 0,-1 0,2 0,-2 0,1 0,1 0,-1 0,-1 0,3 0,-3 0,-2 0,-3 0,-2 0,1 0,-3 0,1 0,-2 0,0 0,2 0,2 0,-2 0,-2 0,0 0,2 0,1 0,-1 0,-2 0,-4 0,-1 0,-3 0,-1 0,-3-3,-5-4,-4-7,-3-4,-1-8,-2-11,-1-15,0-11,3-8,2-3,-1 0,0 1,2 3,0 6,0 0,-2 3,0 5,-2 4,0-1,-1 4,0 6,-1 0,1 5,0 0,0 0,0 4,0-1,0 1,0 2,0 0,0-1,0-4,0-1,0-1,-3 1,-2 1,2 3,-4-1,1-1,1-3,1 2,-1 4,-1 5,2 4,1 3,1 3,1 0,0 1,1 1,-2 2,-2 1,-6 2,-7 4,-3 3,-8 1,-11 2,-8 1,-8 1,-15 2,-14 2,-20-1,-16 2,-15 1,-8-2,-7-1,-2-2,1 0,-4-2,4 0,0 0,2 0,11-1,8 1,12 0,10 0,9 0,3 0,0 0,4 0,6 0,3 0,2 0,8 0,6 0,2 0,5 0,2 0,2 0,-1 0,0 0,1 0,0 0,5 0,-2 0,0 0,2 0,1 0,1 0,4 0,5 0,0 0,1 0,4 0,4 0,6 0,3 0,0 0,0 0,1 0,1 0,2 0,-1 0,1 0,1 0,2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01T12:16:09.413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3214 1219,'-3'0,"-3"0,-8 0,-7 0,-3 0,-3 0,-1 0,0 0,0 0,0 0,-2 0,2 0,-4 0,-3 0,-6 0,-1 0,-1 0,-2 0,0 0,-2-3,0-1,3 0,1-2,1-1,6 2,-1 2,-3 0,3 2,-2 0,3-2,-5-1,-4 1,0-3,1 0,2 1,0 1,3 2,3 1,1-3,1 0,0 1,3 0,-3 1,-1 1,3 0,-3-2,-2-1,1 0,-1-2,-2 0,-1 1,0 1,1 2,2 0,-3 2,3 0,2-3,-3-1,3 1,1 0,0 1,4 1,-1 0,4 1,-4 0,-2-3,2-1,-1 0,0 2,-1-1,-1 2,3 0,0 1,0 0,1 0,1 0,2 1,-1-1,2 0,2 0,-1 0,-2 0,-2 0,0 0,3 0,-1 0,2 0,1 0,3 0,-2 0,0 0,1 0,2 0,1 0,0 0,1 0,0 0,1 0,-1 0,1 0,3-3,3-4,4-4,4-3,1-2,2-1,0-1,1-1,0 1,0 0,-1 0,0 0,0 0,1 0,-1 1,0-1,0 0,-1 1,1-4,0-1,0-5,0-5,0-2,0-2,0-1,0 1,0-1,0 4,0 1,0 0,0 3,0 3,0 3,0 2,0 2,0 1,0 1,0 0,0 0,0 0,0 0,0-1,3 4,4 3,4 4,6 3,3 3,4 0,7 2,11 0,6-1,8 1,6-1,7 1,1-1,1 0,-3 0,2 0,-1 0,-5 0,0 0,4 0,-1-3,0-1,-2 0,-3-2,-3 0,-3 1,-2-2,-4-2,-1 0,-4 1,-2 0,-1 0,-1 3,-1 1,-2 1,-1-1,2 0,3 0,-2 2,1 0,3-2,-4-1,1 2,-1 0,-4 1,1 0,-3 2,-1 0,-1 0,1 0,1 0,0 0,-2 0,1 1,0-1,-1 0,3 0,-1 0,0 0,3 0,1 0,0 0,0 0,2 0,0 0,0 0,-1 0,-2 0,0 0,-1 0,-4 0,-1 0,1 0,-3 0,3 0,2 0,1 0,4 0,4 0,-3 0,2 0,-1 0,-1 0,2 0,-4 0,-2 0,-1 0,-1 0,0 0,-3 0,0 0,-3 0,-3 0,-3 0,-2 0,-1 0,-2 0,1 0,-1 0,0 0,0 0,0 0,1 0,-1 0,1 0,-1 0,1 0,0 0,-1 0,1 0,0 0,-1 0,1 0,0 0,-1 0,1 0,0 0,-1 0,1 0,-1 0,-2 3,-4 3,-4 5,-3 6,-3 3,0 4,-2 5,0 2,1 3,-1 4,1 4,-1 2,1 2,0 2,0 0,0-1,0 2,0-2,0-3,0 0,0-1,0 1,0 1,0 0,0 1,0-1,0-3,0 1,0-3,0-4,0 2,0-3,0 2,0 0,0-2,0 1,0 3,0-1,0-2,0 3,0-3,0 2,0-3,0 1,0 2,0-4,0-1,0-3,0-1,0-2,0-3,0 0,0 0,0-2,0 2,0 2,0 0,0-1,0-2,0-2,0 1,0 4,0 2,0 0,0-1,0 0,0-2,0-1,0-3,0-1,0-1,0-1,0-1,0 1,0-1,0 0,0 0,0-2,-3-5,-4-3,-4-3,-3-3,-5 0,-2-2,-7 1,-5-1,-2 0,-7 1,-9-1,-8 1,1 0,-3 0,-2 0,-2-3,3-1,0 1,3-1,4 2,3 1,1 0,4-2,3-1,0-3,5 1,0-3,1 1,-3-5,0 0,-1 0,-4-2,1 2,-2 4,-1-1,4 3,4 1,0 0,3 0,5 1,3 2,2-2,3 0,3 1,2 1,1-2,-3 0,0 0,1-1,-1 0,2 1,0 2,1 1,0 0,1 2,-4 0,0 0,-1 0,2 1,-3-1,0 0,1-3,1-1,1 0,1 1,4 1,4 4,5 4,2 4,3 4,1 3,0 0,1 1,0 1,0 2,-1 2,1-1,2 2,1 0,-1-1,0-2,0-1,-2-1,0-1,-1 3,0 0,0 4,0 2,-1 0,1-1,0 1,0-2,0-2,0-1,0-2,0 2,3 3,1 0,0-1,-1-1,-1-3,-1 0,0-2,-1 0,0 0,0-1,0 0,0 1,0-1,0 1,0-1,0 1,0-1,0 1,0 0,0-1,0 1,0 0,3-4,3-3,5-4,3-3,2-3,2-1,0 0,3-1,1 0,1 1,1-1,0 1,2 0,2 0,0 0,1 0,-1 0,-3 0,-3 0,-1 0,-2 0,-1 0,-1 0,0 0,1 0,2 0,1 0,0 0,3 0,0 0,-2 0,3 0,-1 0,2 0,-1 0,-1 0,-2 0,-2 0,-1 0,-1 0,0 0,-1 0,0 0,1 0,-1 0,1 0,-1 0,1 0,-1 0,1 0,0 0,-1 0,1-6,-4-5,-3-4,-4-5,-3-2,-3 0,-1-3,0 0,-1 1,0 2,1 2,-1 1,1 1,0-3,0-1,0-2,0-3,0-4,0 2,0-1,0 1,0 0,0-1,0-1,0-2,0 2,0 0,0-3,0 1,0-1,0-2,0 1,-3-2,-1-1,0 0,1 0,1-1,-2-2,-1-1,1-1,1 2,1 1,1-1,0-3,1 4,0 2,-3 1,0 5,-1 4,1 4,1-3,1 0,0 2,-2-1,-1-5,0-6,1 0,1 0,1 1,0 0,1 3,0 5,0 0,0 0,1 1,-1 3,0 1,0 3,0 1,0 1,0 0,0 1,0 0,0 0,0 0,0-1,0 1,0-1,0 0,0 1,0-1,0 6,0 9,0 7,0 6,0 4,0 3,0 2,0 0,0-3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3"/>
  <sheetViews>
    <sheetView topLeftCell="U1" zoomScale="120" zoomScaleNormal="120" workbookViewId="0">
      <selection activeCell="P10" sqref="P10"/>
    </sheetView>
  </sheetViews>
  <sheetFormatPr defaultColWidth="5.5546875" defaultRowHeight="30" customHeight="1" x14ac:dyDescent="0.3"/>
  <cols>
    <col min="1" max="8" width="5.5546875" style="1"/>
    <col min="9" max="16" width="5.5546875" style="1" customWidth="1"/>
    <col min="17" max="17" width="7" style="1" customWidth="1"/>
    <col min="18" max="26" width="5.5546875" style="1" customWidth="1"/>
    <col min="27" max="27" width="8.33203125" style="1" customWidth="1"/>
    <col min="28" max="29" width="5.5546875" style="1" customWidth="1"/>
    <col min="30" max="16384" width="5.5546875" style="1"/>
  </cols>
  <sheetData>
    <row r="1" spans="1:50" ht="30" customHeight="1" x14ac:dyDescent="0.3">
      <c r="A1" s="8" t="s">
        <v>12</v>
      </c>
      <c r="B1" s="8"/>
      <c r="C1" s="8"/>
      <c r="D1" s="8"/>
      <c r="E1" s="8"/>
      <c r="F1" s="8"/>
      <c r="G1" s="8"/>
      <c r="J1" s="8" t="s">
        <v>13</v>
      </c>
      <c r="K1" s="8"/>
      <c r="L1" s="8"/>
      <c r="M1" s="8"/>
      <c r="N1" s="8"/>
      <c r="O1" s="8"/>
      <c r="P1" s="8"/>
      <c r="Q1" s="1" cm="1">
        <f t="array" ref="Q1">SUM($B$3:$F$7*K3:O7)</f>
        <v>10300</v>
      </c>
      <c r="R1" s="1">
        <f>COUNT(K3:O7)</f>
        <v>7</v>
      </c>
      <c r="T1" s="8" t="s">
        <v>14</v>
      </c>
      <c r="U1" s="8"/>
      <c r="V1" s="8"/>
      <c r="W1" s="8"/>
      <c r="X1" s="8"/>
      <c r="Y1" s="8"/>
      <c r="Z1" s="8"/>
      <c r="AA1" s="1" cm="1">
        <f t="array" ref="AA1">SUM($B$3:$F$7*U3:Y7)</f>
        <v>8900</v>
      </c>
      <c r="AB1" s="1">
        <f>COUNT(U3:Y7)</f>
        <v>7</v>
      </c>
      <c r="AD1" s="8" t="s">
        <v>15</v>
      </c>
      <c r="AE1" s="8"/>
      <c r="AF1" s="8"/>
      <c r="AG1" s="8"/>
      <c r="AH1" s="8"/>
      <c r="AI1" s="8"/>
      <c r="AJ1" s="8"/>
      <c r="AK1" s="1" cm="1">
        <f t="array" ref="AK1">SUM($B$3:$F$7*AE3:AI7)</f>
        <v>8700</v>
      </c>
      <c r="AL1" s="1">
        <f>COUNT(AE3:AI7)</f>
        <v>9</v>
      </c>
    </row>
    <row r="2" spans="1:50" ht="30" customHeight="1" x14ac:dyDescent="0.3"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11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11</v>
      </c>
      <c r="U2" s="1" t="s">
        <v>5</v>
      </c>
      <c r="V2" s="1" t="s">
        <v>6</v>
      </c>
      <c r="W2" s="1" t="s">
        <v>7</v>
      </c>
      <c r="X2" s="1" t="s">
        <v>8</v>
      </c>
      <c r="Y2" s="1" t="s">
        <v>9</v>
      </c>
      <c r="Z2" s="1" t="s">
        <v>11</v>
      </c>
      <c r="AE2" s="1" t="s">
        <v>5</v>
      </c>
      <c r="AF2" s="1" t="s">
        <v>6</v>
      </c>
      <c r="AG2" s="1" t="s">
        <v>7</v>
      </c>
      <c r="AH2" s="1" t="s">
        <v>8</v>
      </c>
      <c r="AI2" s="1" t="s">
        <v>9</v>
      </c>
      <c r="AJ2" s="1" t="s">
        <v>11</v>
      </c>
      <c r="AS2" s="1" t="s">
        <v>16</v>
      </c>
    </row>
    <row r="3" spans="1:50" ht="30" customHeight="1" x14ac:dyDescent="0.3">
      <c r="A3" s="1" t="s">
        <v>0</v>
      </c>
      <c r="B3" s="2">
        <v>8</v>
      </c>
      <c r="C3" s="2">
        <v>8</v>
      </c>
      <c r="D3" s="2">
        <v>6</v>
      </c>
      <c r="E3" s="2">
        <v>7</v>
      </c>
      <c r="F3" s="2">
        <v>8</v>
      </c>
      <c r="G3" s="1">
        <v>300</v>
      </c>
      <c r="J3" s="1" t="s">
        <v>0</v>
      </c>
      <c r="K3" s="2">
        <v>100</v>
      </c>
      <c r="L3" s="2">
        <v>200</v>
      </c>
      <c r="M3" s="2"/>
      <c r="N3" s="2"/>
      <c r="O3" s="2"/>
      <c r="P3" s="1">
        <f>SUM(K3:O3)</f>
        <v>300</v>
      </c>
      <c r="T3" s="1" t="s">
        <v>0</v>
      </c>
      <c r="U3" s="2"/>
      <c r="V3" s="2"/>
      <c r="W3" s="2">
        <v>200</v>
      </c>
      <c r="X3" s="2">
        <v>100</v>
      </c>
      <c r="Y3" s="2"/>
      <c r="Z3" s="1">
        <f>SUM(U3:Y3)</f>
        <v>300</v>
      </c>
      <c r="AD3" s="1" t="s">
        <v>0</v>
      </c>
      <c r="AE3" s="2"/>
      <c r="AF3" s="2"/>
      <c r="AG3" s="2">
        <v>200</v>
      </c>
      <c r="AH3" s="2">
        <v>100</v>
      </c>
      <c r="AI3" s="2"/>
      <c r="AJ3" s="1">
        <f>SUM(AE3:AI3)</f>
        <v>300</v>
      </c>
      <c r="AN3" s="2"/>
      <c r="AO3" s="2"/>
      <c r="AP3" s="2"/>
      <c r="AQ3" s="2"/>
      <c r="AR3" s="2"/>
      <c r="AS3" s="1">
        <v>1</v>
      </c>
      <c r="AT3" s="1">
        <v>1</v>
      </c>
      <c r="AU3" s="1">
        <v>1</v>
      </c>
      <c r="AV3" s="1">
        <v>1</v>
      </c>
      <c r="AW3" s="1">
        <v>1</v>
      </c>
      <c r="AX3" s="1">
        <v>1</v>
      </c>
    </row>
    <row r="4" spans="1:50" ht="30" customHeight="1" x14ac:dyDescent="0.3">
      <c r="A4" s="1" t="s">
        <v>1</v>
      </c>
      <c r="B4" s="2">
        <v>6</v>
      </c>
      <c r="C4" s="2">
        <v>7</v>
      </c>
      <c r="D4" s="2">
        <v>8</v>
      </c>
      <c r="E4" s="2">
        <v>9</v>
      </c>
      <c r="F4" s="2">
        <v>8</v>
      </c>
      <c r="G4" s="1">
        <v>200</v>
      </c>
      <c r="J4" s="1" t="s">
        <v>1</v>
      </c>
      <c r="K4" s="2"/>
      <c r="L4" s="2">
        <v>200</v>
      </c>
      <c r="M4" s="2"/>
      <c r="N4" s="2"/>
      <c r="O4" s="2"/>
      <c r="P4" s="1">
        <f t="shared" ref="P4:P7" si="0">SUM(K4:O4)</f>
        <v>200</v>
      </c>
      <c r="T4" s="1" t="s">
        <v>1</v>
      </c>
      <c r="U4" s="2">
        <v>100</v>
      </c>
      <c r="V4" s="2"/>
      <c r="W4" s="2"/>
      <c r="X4" s="2"/>
      <c r="Y4" s="2">
        <v>100</v>
      </c>
      <c r="Z4" s="1">
        <f t="shared" ref="Z4:Z7" si="1">SUM(U4:Y4)</f>
        <v>200</v>
      </c>
      <c r="AD4" s="1" t="s">
        <v>1</v>
      </c>
      <c r="AE4" s="2">
        <v>100</v>
      </c>
      <c r="AF4" s="2">
        <v>100</v>
      </c>
      <c r="AG4" s="2"/>
      <c r="AH4" s="2"/>
      <c r="AI4" s="2"/>
      <c r="AJ4" s="1">
        <f t="shared" ref="AJ4:AJ7" si="2">SUM(AE4:AI4)</f>
        <v>200</v>
      </c>
      <c r="AN4" s="2"/>
      <c r="AO4" s="2"/>
      <c r="AP4" s="2"/>
      <c r="AQ4" s="2"/>
      <c r="AR4" s="2"/>
      <c r="AS4" s="1">
        <v>1</v>
      </c>
      <c r="AT4" s="1">
        <v>1</v>
      </c>
      <c r="AU4" s="1">
        <v>1</v>
      </c>
      <c r="AV4" s="1">
        <v>1</v>
      </c>
      <c r="AW4" s="1">
        <v>1</v>
      </c>
    </row>
    <row r="5" spans="1:50" ht="30" customHeight="1" x14ac:dyDescent="0.3">
      <c r="A5" s="1" t="s">
        <v>2</v>
      </c>
      <c r="B5" s="2">
        <v>7</v>
      </c>
      <c r="C5" s="2">
        <v>8</v>
      </c>
      <c r="D5" s="2">
        <v>9</v>
      </c>
      <c r="E5" s="2">
        <v>9</v>
      </c>
      <c r="F5" s="2">
        <v>6</v>
      </c>
      <c r="G5" s="1">
        <v>200</v>
      </c>
      <c r="J5" s="1" t="s">
        <v>2</v>
      </c>
      <c r="K5" s="2"/>
      <c r="L5" s="2"/>
      <c r="M5" s="2">
        <v>200</v>
      </c>
      <c r="N5" s="2"/>
      <c r="O5" s="2"/>
      <c r="P5" s="1">
        <f t="shared" si="0"/>
        <v>200</v>
      </c>
      <c r="T5" s="1" t="s">
        <v>2</v>
      </c>
      <c r="U5" s="2"/>
      <c r="V5" s="2"/>
      <c r="W5" s="2"/>
      <c r="X5" s="2"/>
      <c r="Y5" s="2">
        <v>200</v>
      </c>
      <c r="Z5" s="1">
        <f t="shared" si="1"/>
        <v>200</v>
      </c>
      <c r="AD5" s="1" t="s">
        <v>2</v>
      </c>
      <c r="AE5" s="2"/>
      <c r="AF5" s="2"/>
      <c r="AG5" s="2"/>
      <c r="AH5" s="2"/>
      <c r="AI5" s="2">
        <v>200</v>
      </c>
      <c r="AJ5" s="1">
        <f t="shared" si="2"/>
        <v>200</v>
      </c>
      <c r="AN5" s="2"/>
      <c r="AO5" s="2"/>
      <c r="AP5" s="2"/>
      <c r="AQ5" s="2"/>
      <c r="AR5" s="2"/>
      <c r="AS5" s="1">
        <v>1</v>
      </c>
      <c r="AT5" s="1">
        <v>1</v>
      </c>
    </row>
    <row r="6" spans="1:50" ht="30" customHeight="1" x14ac:dyDescent="0.3">
      <c r="A6" s="1" t="s">
        <v>3</v>
      </c>
      <c r="B6" s="2">
        <v>7</v>
      </c>
      <c r="C6" s="2">
        <v>7</v>
      </c>
      <c r="D6" s="2">
        <v>8</v>
      </c>
      <c r="E6" s="2">
        <v>8</v>
      </c>
      <c r="F6" s="2">
        <v>8</v>
      </c>
      <c r="G6" s="1">
        <v>200</v>
      </c>
      <c r="J6" s="1" t="s">
        <v>3</v>
      </c>
      <c r="K6" s="2"/>
      <c r="L6" s="2"/>
      <c r="M6" s="2"/>
      <c r="N6" s="2">
        <v>200</v>
      </c>
      <c r="O6" s="2"/>
      <c r="P6" s="1">
        <f t="shared" si="0"/>
        <v>200</v>
      </c>
      <c r="T6" s="1" t="s">
        <v>3</v>
      </c>
      <c r="U6" s="2"/>
      <c r="V6" s="2"/>
      <c r="W6" s="2"/>
      <c r="X6" s="2">
        <v>200</v>
      </c>
      <c r="Y6" s="2"/>
      <c r="Z6" s="1">
        <f t="shared" si="1"/>
        <v>200</v>
      </c>
      <c r="AD6" s="1" t="s">
        <v>3</v>
      </c>
      <c r="AE6" s="2"/>
      <c r="AF6" s="2">
        <v>200</v>
      </c>
      <c r="AG6" s="2"/>
      <c r="AH6" s="2"/>
      <c r="AI6" s="2"/>
      <c r="AJ6" s="1">
        <f t="shared" si="2"/>
        <v>200</v>
      </c>
      <c r="AN6" s="2"/>
      <c r="AO6" s="2"/>
      <c r="AP6" s="2"/>
      <c r="AQ6" s="2"/>
      <c r="AR6" s="2"/>
      <c r="AS6" s="1">
        <v>0</v>
      </c>
      <c r="AT6" s="1">
        <v>0</v>
      </c>
      <c r="AU6" s="1">
        <v>0</v>
      </c>
      <c r="AV6" s="1">
        <v>1</v>
      </c>
    </row>
    <row r="7" spans="1:50" ht="30" customHeight="1" x14ac:dyDescent="0.3">
      <c r="A7" s="1" t="s">
        <v>4</v>
      </c>
      <c r="B7" s="2">
        <v>7</v>
      </c>
      <c r="C7" s="2">
        <v>7</v>
      </c>
      <c r="D7" s="2">
        <v>8</v>
      </c>
      <c r="E7" s="2">
        <v>7</v>
      </c>
      <c r="F7" s="2">
        <v>8</v>
      </c>
      <c r="G7" s="1">
        <v>400</v>
      </c>
      <c r="J7" s="1" t="s">
        <v>4</v>
      </c>
      <c r="K7" s="2"/>
      <c r="L7" s="2"/>
      <c r="M7" s="2"/>
      <c r="N7" s="2">
        <v>100</v>
      </c>
      <c r="O7" s="2">
        <v>300</v>
      </c>
      <c r="P7" s="1">
        <f t="shared" si="0"/>
        <v>400</v>
      </c>
      <c r="T7" s="1" t="s">
        <v>4</v>
      </c>
      <c r="U7" s="2"/>
      <c r="V7" s="2">
        <v>400</v>
      </c>
      <c r="W7" s="2"/>
      <c r="X7" s="2"/>
      <c r="Y7" s="2"/>
      <c r="Z7" s="1">
        <f t="shared" si="1"/>
        <v>400</v>
      </c>
      <c r="AD7" s="1" t="s">
        <v>4</v>
      </c>
      <c r="AE7" s="2"/>
      <c r="AF7" s="2">
        <v>100</v>
      </c>
      <c r="AG7" s="2"/>
      <c r="AH7" s="2">
        <v>200</v>
      </c>
      <c r="AI7" s="2">
        <v>100</v>
      </c>
      <c r="AJ7" s="1">
        <f t="shared" si="2"/>
        <v>400</v>
      </c>
      <c r="AN7" s="2"/>
      <c r="AO7" s="2">
        <v>7</v>
      </c>
      <c r="AP7" s="2"/>
      <c r="AQ7" s="2">
        <v>7</v>
      </c>
      <c r="AR7" s="2">
        <v>8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</row>
    <row r="8" spans="1:50" ht="30" customHeight="1" x14ac:dyDescent="0.3">
      <c r="A8" s="1" t="s">
        <v>10</v>
      </c>
      <c r="B8" s="1">
        <v>100</v>
      </c>
      <c r="C8" s="1">
        <v>400</v>
      </c>
      <c r="D8" s="1">
        <v>200</v>
      </c>
      <c r="E8" s="1">
        <v>300</v>
      </c>
      <c r="F8" s="1">
        <v>300</v>
      </c>
      <c r="J8" s="1" t="s">
        <v>10</v>
      </c>
      <c r="K8" s="1">
        <f>SUM(K3:K7)</f>
        <v>100</v>
      </c>
      <c r="L8" s="1">
        <f t="shared" ref="L8:O8" si="3">SUM(L3:L7)</f>
        <v>400</v>
      </c>
      <c r="M8" s="1">
        <f t="shared" si="3"/>
        <v>200</v>
      </c>
      <c r="N8" s="1">
        <f t="shared" si="3"/>
        <v>300</v>
      </c>
      <c r="O8" s="1">
        <f t="shared" si="3"/>
        <v>300</v>
      </c>
      <c r="T8" s="1" t="s">
        <v>10</v>
      </c>
      <c r="U8" s="1">
        <f>SUM(U3:U7)</f>
        <v>100</v>
      </c>
      <c r="V8" s="1">
        <f t="shared" ref="V8" si="4">SUM(V3:V7)</f>
        <v>400</v>
      </c>
      <c r="W8" s="1">
        <f t="shared" ref="W8" si="5">SUM(W3:W7)</f>
        <v>200</v>
      </c>
      <c r="X8" s="1">
        <f t="shared" ref="X8" si="6">SUM(X3:X7)</f>
        <v>300</v>
      </c>
      <c r="Y8" s="1">
        <f t="shared" ref="Y8" si="7">SUM(Y3:Y7)</f>
        <v>300</v>
      </c>
      <c r="AD8" s="1" t="s">
        <v>10</v>
      </c>
      <c r="AE8" s="1">
        <f>SUM(AE3:AE7)</f>
        <v>100</v>
      </c>
      <c r="AF8" s="1">
        <f t="shared" ref="AF8" si="8">SUM(AF3:AF7)</f>
        <v>400</v>
      </c>
      <c r="AG8" s="1">
        <f t="shared" ref="AG8" si="9">SUM(AG3:AG7)</f>
        <v>200</v>
      </c>
      <c r="AH8" s="1">
        <f t="shared" ref="AH8" si="10">SUM(AH3:AH7)</f>
        <v>300</v>
      </c>
      <c r="AI8" s="1">
        <f t="shared" ref="AI8" si="11">SUM(AI3:AI7)</f>
        <v>300</v>
      </c>
      <c r="AM8" s="1" t="s">
        <v>16</v>
      </c>
      <c r="AN8" s="1">
        <v>1</v>
      </c>
      <c r="AO8" s="1">
        <v>0</v>
      </c>
      <c r="AP8" s="1">
        <v>2</v>
      </c>
      <c r="AQ8" s="1">
        <v>0</v>
      </c>
      <c r="AR8" s="1">
        <v>2</v>
      </c>
    </row>
    <row r="9" spans="1:50" ht="30" customHeight="1" x14ac:dyDescent="0.3">
      <c r="AN9" s="1">
        <v>1</v>
      </c>
      <c r="AO9" s="1">
        <v>0</v>
      </c>
      <c r="AQ9" s="1">
        <v>0</v>
      </c>
      <c r="AR9" s="1">
        <v>2</v>
      </c>
    </row>
    <row r="10" spans="1:50" ht="30" customHeight="1" x14ac:dyDescent="0.3">
      <c r="AN10" s="1">
        <v>1</v>
      </c>
      <c r="AO10" s="1">
        <v>0</v>
      </c>
      <c r="AQ10" s="1">
        <v>0</v>
      </c>
      <c r="AR10" s="1">
        <v>0</v>
      </c>
    </row>
    <row r="11" spans="1:50" ht="30" customHeight="1" x14ac:dyDescent="0.3">
      <c r="AO11" s="1">
        <v>0</v>
      </c>
      <c r="AQ11" s="1">
        <v>0</v>
      </c>
      <c r="AR11" s="1">
        <v>0</v>
      </c>
    </row>
    <row r="12" spans="1:50" ht="30" customHeight="1" x14ac:dyDescent="0.3">
      <c r="AO12" s="1">
        <v>0</v>
      </c>
      <c r="AQ12" s="1">
        <v>0</v>
      </c>
      <c r="AR12" s="1">
        <v>0</v>
      </c>
    </row>
    <row r="13" spans="1:50" ht="30" customHeight="1" x14ac:dyDescent="0.3">
      <c r="AO13" s="1">
        <v>1</v>
      </c>
      <c r="AQ13" s="1">
        <v>0</v>
      </c>
      <c r="AR13" s="1">
        <v>0</v>
      </c>
    </row>
  </sheetData>
  <mergeCells count="4">
    <mergeCell ref="A1:G1"/>
    <mergeCell ref="J1:P1"/>
    <mergeCell ref="T1:Z1"/>
    <mergeCell ref="AD1:AJ1"/>
  </mergeCells>
  <phoneticPr fontId="4" type="noConversion"/>
  <conditionalFormatting sqref="B3:F7">
    <cfRule type="colorScale" priority="15">
      <colorScale>
        <cfvo type="min"/>
        <cfvo type="max"/>
        <color theme="4" tint="0.79998168889431442"/>
        <color theme="5" tint="0.79998168889431442"/>
      </colorScale>
    </cfRule>
  </conditionalFormatting>
  <conditionalFormatting sqref="K3:O7">
    <cfRule type="colorScale" priority="14">
      <colorScale>
        <cfvo type="min"/>
        <cfvo type="max"/>
        <color theme="4" tint="0.79998168889431442"/>
        <color theme="5" tint="0.79998168889431442"/>
      </colorScale>
    </cfRule>
  </conditionalFormatting>
  <conditionalFormatting sqref="K8:O8">
    <cfRule type="expression" dxfId="65" priority="13">
      <formula>K8=B8</formula>
    </cfRule>
  </conditionalFormatting>
  <conditionalFormatting sqref="P3:P7">
    <cfRule type="expression" dxfId="64" priority="12">
      <formula>P3=G3</formula>
    </cfRule>
  </conditionalFormatting>
  <conditionalFormatting sqref="U8:Y8">
    <cfRule type="expression" dxfId="63" priority="7">
      <formula>U8=B8</formula>
    </cfRule>
  </conditionalFormatting>
  <conditionalFormatting sqref="Z3:Z7">
    <cfRule type="expression" dxfId="62" priority="6">
      <formula>Z3=G3</formula>
    </cfRule>
  </conditionalFormatting>
  <conditionalFormatting sqref="U3:Y7">
    <cfRule type="colorScale" priority="5">
      <colorScale>
        <cfvo type="min"/>
        <cfvo type="max"/>
        <color theme="4" tint="0.79998168889431442"/>
        <color theme="5" tint="0.79998168889431442"/>
      </colorScale>
    </cfRule>
  </conditionalFormatting>
  <conditionalFormatting sqref="AE8:AI8">
    <cfRule type="expression" dxfId="61" priority="4">
      <formula>AE8=B8</formula>
    </cfRule>
  </conditionalFormatting>
  <conditionalFormatting sqref="AJ3:AJ7">
    <cfRule type="expression" dxfId="60" priority="3">
      <formula>AJ3=G3</formula>
    </cfRule>
  </conditionalFormatting>
  <conditionalFormatting sqref="AE3:AI7">
    <cfRule type="colorScale" priority="2">
      <colorScale>
        <cfvo type="min"/>
        <cfvo type="max"/>
        <color theme="4" tint="0.79998168889431442"/>
        <color theme="5" tint="0.79998168889431442"/>
      </colorScale>
    </cfRule>
  </conditionalFormatting>
  <conditionalFormatting sqref="AN3:AR7">
    <cfRule type="colorScale" priority="1">
      <colorScale>
        <cfvo type="min"/>
        <cfvo type="max"/>
        <color theme="4" tint="0.79998168889431442"/>
        <color theme="5" tint="0.79998168889431442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88FA2-4F07-461F-988A-371353D1B2CE}">
  <dimension ref="A1:Y17"/>
  <sheetViews>
    <sheetView topLeftCell="A9" zoomScale="120" zoomScaleNormal="120" workbookViewId="0">
      <selection activeCell="V5" sqref="V5"/>
    </sheetView>
  </sheetViews>
  <sheetFormatPr defaultColWidth="5.5546875" defaultRowHeight="30" customHeight="1" x14ac:dyDescent="0.3"/>
  <cols>
    <col min="1" max="8" width="5.5546875" style="1"/>
    <col min="9" max="9" width="5.5546875" style="1" customWidth="1"/>
    <col min="10" max="16384" width="5.5546875" style="1"/>
  </cols>
  <sheetData>
    <row r="1" spans="1:25" ht="30" customHeight="1" x14ac:dyDescent="0.3">
      <c r="A1" s="8" t="s">
        <v>12</v>
      </c>
      <c r="B1" s="8"/>
      <c r="C1" s="8"/>
      <c r="D1" s="8"/>
      <c r="E1" s="8"/>
      <c r="F1" s="8"/>
      <c r="G1" s="8"/>
      <c r="J1" s="8" t="s">
        <v>17</v>
      </c>
      <c r="K1" s="8"/>
      <c r="L1" s="8"/>
      <c r="M1" s="8"/>
      <c r="N1" s="8"/>
      <c r="O1" s="8"/>
      <c r="P1" s="8"/>
      <c r="Q1" s="1" cm="1">
        <f t="array" ref="Q1">SUM($B$3:$F$7*K3:O7)</f>
        <v>8700</v>
      </c>
      <c r="R1" s="1">
        <f>COUNT(K3:O7)</f>
        <v>9</v>
      </c>
    </row>
    <row r="2" spans="1:25" ht="30" customHeight="1" x14ac:dyDescent="0.3"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11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11</v>
      </c>
    </row>
    <row r="3" spans="1:25" ht="30" customHeight="1" x14ac:dyDescent="0.3">
      <c r="A3" s="1" t="s">
        <v>0</v>
      </c>
      <c r="B3" s="2">
        <v>8</v>
      </c>
      <c r="C3" s="2">
        <v>8</v>
      </c>
      <c r="D3" s="2">
        <v>6</v>
      </c>
      <c r="E3" s="2">
        <v>7</v>
      </c>
      <c r="F3" s="2">
        <v>8</v>
      </c>
      <c r="G3" s="1">
        <v>300</v>
      </c>
      <c r="J3" s="1" t="s">
        <v>0</v>
      </c>
      <c r="K3" s="2"/>
      <c r="L3" s="2"/>
      <c r="M3" s="2">
        <v>200</v>
      </c>
      <c r="N3" s="2">
        <v>100</v>
      </c>
      <c r="O3" s="2"/>
      <c r="P3" s="1">
        <f>SUM(K3:O3)</f>
        <v>300</v>
      </c>
    </row>
    <row r="4" spans="1:25" ht="30" customHeight="1" x14ac:dyDescent="0.3">
      <c r="A4" s="1" t="s">
        <v>1</v>
      </c>
      <c r="B4" s="2">
        <v>6</v>
      </c>
      <c r="C4" s="2">
        <v>7</v>
      </c>
      <c r="D4" s="2">
        <v>8</v>
      </c>
      <c r="E4" s="2">
        <v>9</v>
      </c>
      <c r="F4" s="2">
        <v>8</v>
      </c>
      <c r="G4" s="1">
        <v>200</v>
      </c>
      <c r="J4" s="1" t="s">
        <v>1</v>
      </c>
      <c r="K4" s="2">
        <v>100</v>
      </c>
      <c r="L4" s="2">
        <v>100</v>
      </c>
      <c r="M4" s="2"/>
      <c r="N4" s="2"/>
      <c r="O4" s="2"/>
      <c r="P4" s="1">
        <f t="shared" ref="P4:P7" si="0">SUM(K4:O4)</f>
        <v>200</v>
      </c>
    </row>
    <row r="5" spans="1:25" ht="30" customHeight="1" x14ac:dyDescent="0.3">
      <c r="A5" s="1" t="s">
        <v>2</v>
      </c>
      <c r="B5" s="2">
        <v>7</v>
      </c>
      <c r="C5" s="2">
        <v>8</v>
      </c>
      <c r="D5" s="2">
        <v>9</v>
      </c>
      <c r="E5" s="2">
        <v>9</v>
      </c>
      <c r="F5" s="2">
        <v>6</v>
      </c>
      <c r="G5" s="1">
        <v>200</v>
      </c>
      <c r="J5" s="1" t="s">
        <v>2</v>
      </c>
      <c r="K5" s="2"/>
      <c r="L5" s="2"/>
      <c r="M5" s="2"/>
      <c r="N5" s="2"/>
      <c r="O5" s="2">
        <v>200</v>
      </c>
      <c r="P5" s="1">
        <f t="shared" si="0"/>
        <v>200</v>
      </c>
    </row>
    <row r="6" spans="1:25" ht="30" customHeight="1" x14ac:dyDescent="0.3">
      <c r="A6" s="1" t="s">
        <v>3</v>
      </c>
      <c r="B6" s="2">
        <v>7</v>
      </c>
      <c r="C6" s="2">
        <v>7</v>
      </c>
      <c r="D6" s="2">
        <v>8</v>
      </c>
      <c r="E6" s="2">
        <v>8</v>
      </c>
      <c r="F6" s="2">
        <v>8</v>
      </c>
      <c r="G6" s="1">
        <v>200</v>
      </c>
      <c r="J6" s="1" t="s">
        <v>3</v>
      </c>
      <c r="K6" s="2"/>
      <c r="L6" s="2">
        <v>200</v>
      </c>
      <c r="M6" s="2"/>
      <c r="N6" s="2"/>
      <c r="O6" s="2"/>
      <c r="P6" s="1">
        <f t="shared" si="0"/>
        <v>200</v>
      </c>
    </row>
    <row r="7" spans="1:25" ht="30" customHeight="1" x14ac:dyDescent="0.3">
      <c r="A7" s="1" t="s">
        <v>4</v>
      </c>
      <c r="B7" s="2">
        <v>7</v>
      </c>
      <c r="C7" s="2">
        <v>7</v>
      </c>
      <c r="D7" s="2">
        <v>8</v>
      </c>
      <c r="E7" s="2">
        <v>7</v>
      </c>
      <c r="F7" s="2">
        <v>8</v>
      </c>
      <c r="G7" s="1">
        <v>400</v>
      </c>
      <c r="J7" s="1" t="s">
        <v>4</v>
      </c>
      <c r="K7" s="2"/>
      <c r="L7" s="2">
        <v>100</v>
      </c>
      <c r="M7" s="2"/>
      <c r="N7" s="2">
        <v>200</v>
      </c>
      <c r="O7" s="2">
        <v>100</v>
      </c>
      <c r="P7" s="1">
        <f t="shared" si="0"/>
        <v>400</v>
      </c>
    </row>
    <row r="8" spans="1:25" ht="30" customHeight="1" x14ac:dyDescent="0.3">
      <c r="A8" s="1" t="s">
        <v>10</v>
      </c>
      <c r="B8" s="1">
        <v>100</v>
      </c>
      <c r="C8" s="1">
        <v>400</v>
      </c>
      <c r="D8" s="1">
        <v>200</v>
      </c>
      <c r="E8" s="1">
        <v>300</v>
      </c>
      <c r="F8" s="1">
        <v>300</v>
      </c>
      <c r="J8" s="1" t="s">
        <v>10</v>
      </c>
      <c r="K8" s="1">
        <f>SUM(K3:K7)</f>
        <v>100</v>
      </c>
      <c r="L8" s="1">
        <f t="shared" ref="L8:O8" si="1">SUM(L3:L7)</f>
        <v>400</v>
      </c>
      <c r="M8" s="1">
        <f t="shared" si="1"/>
        <v>200</v>
      </c>
      <c r="N8" s="1">
        <f t="shared" si="1"/>
        <v>300</v>
      </c>
      <c r="O8" s="1">
        <f t="shared" si="1"/>
        <v>300</v>
      </c>
    </row>
    <row r="10" spans="1:25" ht="30" customHeight="1" x14ac:dyDescent="0.3">
      <c r="A10" s="8" t="s">
        <v>18</v>
      </c>
      <c r="B10" s="8"/>
      <c r="C10" s="8"/>
      <c r="D10" s="8"/>
      <c r="E10" s="8"/>
      <c r="F10" s="8"/>
      <c r="G10" s="8"/>
      <c r="J10" s="8" t="s">
        <v>21</v>
      </c>
      <c r="K10" s="8"/>
      <c r="L10" s="8"/>
      <c r="M10" s="8"/>
      <c r="N10" s="8"/>
      <c r="O10" s="8"/>
      <c r="P10" s="8"/>
      <c r="S10" s="8" t="s">
        <v>22</v>
      </c>
      <c r="T10" s="8"/>
      <c r="U10" s="8"/>
      <c r="V10" s="8"/>
      <c r="W10" s="8"/>
      <c r="X10" s="8"/>
      <c r="Y10" s="8"/>
    </row>
    <row r="11" spans="1:25" ht="30" customHeight="1" x14ac:dyDescent="0.3">
      <c r="B11" s="1" t="s">
        <v>5</v>
      </c>
      <c r="C11" s="1" t="s">
        <v>6</v>
      </c>
      <c r="D11" s="1" t="s">
        <v>7</v>
      </c>
      <c r="E11" s="1" t="s">
        <v>8</v>
      </c>
      <c r="F11" s="1" t="s">
        <v>9</v>
      </c>
      <c r="G11" s="1" t="s">
        <v>19</v>
      </c>
      <c r="K11" s="1" t="s">
        <v>5</v>
      </c>
      <c r="L11" s="1" t="s">
        <v>6</v>
      </c>
      <c r="M11" s="1" t="s">
        <v>7</v>
      </c>
      <c r="N11" s="1" t="s">
        <v>8</v>
      </c>
      <c r="O11" s="1" t="s">
        <v>9</v>
      </c>
      <c r="P11" s="1" t="s">
        <v>19</v>
      </c>
      <c r="T11" s="1" t="s">
        <v>5</v>
      </c>
      <c r="U11" s="1" t="s">
        <v>6</v>
      </c>
      <c r="V11" s="1" t="s">
        <v>7</v>
      </c>
      <c r="W11" s="1" t="s">
        <v>8</v>
      </c>
      <c r="X11" s="1" t="s">
        <v>9</v>
      </c>
      <c r="Y11" s="1" t="s">
        <v>19</v>
      </c>
    </row>
    <row r="12" spans="1:25" ht="30" customHeight="1" x14ac:dyDescent="0.3">
      <c r="A12" s="1" t="s">
        <v>0</v>
      </c>
      <c r="B12" s="2"/>
      <c r="C12" s="2"/>
      <c r="D12" s="2">
        <v>6</v>
      </c>
      <c r="E12" s="2">
        <v>7</v>
      </c>
      <c r="F12" s="2"/>
      <c r="G12" s="1">
        <v>0</v>
      </c>
      <c r="J12" s="1" t="s">
        <v>0</v>
      </c>
      <c r="K12" s="2">
        <f>$P12+K$17</f>
        <v>6</v>
      </c>
      <c r="L12" s="2">
        <f t="shared" ref="L12:O12" si="2">$P12+L$17</f>
        <v>7</v>
      </c>
      <c r="M12" s="3">
        <f t="shared" si="2"/>
        <v>6</v>
      </c>
      <c r="N12" s="3">
        <f t="shared" si="2"/>
        <v>7</v>
      </c>
      <c r="O12" s="2">
        <f t="shared" si="2"/>
        <v>8</v>
      </c>
      <c r="P12" s="1" cm="1">
        <f t="array" ref="P12:P16">G12:G16</f>
        <v>0</v>
      </c>
      <c r="S12" s="1" t="s">
        <v>0</v>
      </c>
      <c r="T12" s="2">
        <f>K12-B3</f>
        <v>-2</v>
      </c>
      <c r="U12" s="2">
        <f t="shared" ref="U12:X12" si="3">L12-C3</f>
        <v>-1</v>
      </c>
      <c r="V12" s="3">
        <f t="shared" si="3"/>
        <v>0</v>
      </c>
      <c r="W12" s="3">
        <f t="shared" si="3"/>
        <v>0</v>
      </c>
      <c r="X12" s="2">
        <f t="shared" si="3"/>
        <v>0</v>
      </c>
      <c r="Y12" s="1" cm="1">
        <f t="array" ref="Y12:Y16">G12:G16</f>
        <v>0</v>
      </c>
    </row>
    <row r="13" spans="1:25" ht="30" customHeight="1" x14ac:dyDescent="0.3">
      <c r="A13" s="1" t="s">
        <v>1</v>
      </c>
      <c r="B13" s="2">
        <v>6</v>
      </c>
      <c r="C13" s="2">
        <v>7</v>
      </c>
      <c r="D13" s="2"/>
      <c r="E13" s="2"/>
      <c r="F13" s="2"/>
      <c r="G13" s="1">
        <v>0</v>
      </c>
      <c r="J13" s="1" t="s">
        <v>1</v>
      </c>
      <c r="K13" s="3">
        <f t="shared" ref="K13:O16" si="4">$P13+K$17</f>
        <v>6</v>
      </c>
      <c r="L13" s="3">
        <f t="shared" si="4"/>
        <v>7</v>
      </c>
      <c r="M13" s="2">
        <f t="shared" si="4"/>
        <v>6</v>
      </c>
      <c r="N13" s="2">
        <f t="shared" si="4"/>
        <v>7</v>
      </c>
      <c r="O13" s="2">
        <f t="shared" si="4"/>
        <v>8</v>
      </c>
      <c r="P13" s="1">
        <v>0</v>
      </c>
      <c r="S13" s="1" t="s">
        <v>1</v>
      </c>
      <c r="T13" s="3">
        <f t="shared" ref="T13:T16" si="5">K13-B4</f>
        <v>0</v>
      </c>
      <c r="U13" s="3">
        <f t="shared" ref="U13:U16" si="6">L13-C4</f>
        <v>0</v>
      </c>
      <c r="V13" s="2">
        <f t="shared" ref="V13:V16" si="7">M13-D4</f>
        <v>-2</v>
      </c>
      <c r="W13" s="2">
        <f t="shared" ref="W13:W16" si="8">N13-E4</f>
        <v>-2</v>
      </c>
      <c r="X13" s="2">
        <f t="shared" ref="X13:X16" si="9">O13-F4</f>
        <v>0</v>
      </c>
      <c r="Y13" s="1">
        <v>0</v>
      </c>
    </row>
    <row r="14" spans="1:25" ht="30" customHeight="1" x14ac:dyDescent="0.3">
      <c r="A14" s="1" t="s">
        <v>2</v>
      </c>
      <c r="B14" s="2"/>
      <c r="C14" s="2"/>
      <c r="D14" s="2"/>
      <c r="E14" s="2"/>
      <c r="F14" s="2">
        <v>6</v>
      </c>
      <c r="G14" s="1">
        <v>-2</v>
      </c>
      <c r="J14" s="1" t="s">
        <v>2</v>
      </c>
      <c r="K14" s="2">
        <f t="shared" si="4"/>
        <v>4</v>
      </c>
      <c r="L14" s="2">
        <f t="shared" si="4"/>
        <v>5</v>
      </c>
      <c r="M14" s="2">
        <f t="shared" si="4"/>
        <v>4</v>
      </c>
      <c r="N14" s="2">
        <f t="shared" si="4"/>
        <v>5</v>
      </c>
      <c r="O14" s="3">
        <f t="shared" si="4"/>
        <v>6</v>
      </c>
      <c r="P14" s="1">
        <v>-2</v>
      </c>
      <c r="S14" s="1" t="s">
        <v>2</v>
      </c>
      <c r="T14" s="2">
        <f t="shared" si="5"/>
        <v>-3</v>
      </c>
      <c r="U14" s="2">
        <f t="shared" si="6"/>
        <v>-3</v>
      </c>
      <c r="V14" s="2">
        <f t="shared" si="7"/>
        <v>-5</v>
      </c>
      <c r="W14" s="2">
        <f t="shared" si="8"/>
        <v>-4</v>
      </c>
      <c r="X14" s="3">
        <f t="shared" si="9"/>
        <v>0</v>
      </c>
      <c r="Y14" s="1">
        <v>-2</v>
      </c>
    </row>
    <row r="15" spans="1:25" ht="30" customHeight="1" x14ac:dyDescent="0.3">
      <c r="A15" s="1" t="s">
        <v>3</v>
      </c>
      <c r="B15" s="2"/>
      <c r="C15" s="2">
        <v>7</v>
      </c>
      <c r="D15" s="2"/>
      <c r="E15" s="2"/>
      <c r="F15" s="2"/>
      <c r="G15" s="1">
        <v>0</v>
      </c>
      <c r="J15" s="1" t="s">
        <v>3</v>
      </c>
      <c r="K15" s="2">
        <f t="shared" si="4"/>
        <v>6</v>
      </c>
      <c r="L15" s="3">
        <f t="shared" si="4"/>
        <v>7</v>
      </c>
      <c r="M15" s="2">
        <f t="shared" si="4"/>
        <v>6</v>
      </c>
      <c r="N15" s="2">
        <f t="shared" si="4"/>
        <v>7</v>
      </c>
      <c r="O15" s="2">
        <f t="shared" si="4"/>
        <v>8</v>
      </c>
      <c r="P15" s="1">
        <v>0</v>
      </c>
      <c r="S15" s="1" t="s">
        <v>3</v>
      </c>
      <c r="T15" s="2">
        <f t="shared" si="5"/>
        <v>-1</v>
      </c>
      <c r="U15" s="3">
        <f t="shared" si="6"/>
        <v>0</v>
      </c>
      <c r="V15" s="2">
        <f t="shared" si="7"/>
        <v>-2</v>
      </c>
      <c r="W15" s="2">
        <f t="shared" si="8"/>
        <v>-1</v>
      </c>
      <c r="X15" s="2">
        <f t="shared" si="9"/>
        <v>0</v>
      </c>
      <c r="Y15" s="1">
        <v>0</v>
      </c>
    </row>
    <row r="16" spans="1:25" ht="30" customHeight="1" x14ac:dyDescent="0.3">
      <c r="A16" s="1" t="s">
        <v>4</v>
      </c>
      <c r="B16" s="2"/>
      <c r="C16" s="2">
        <v>7</v>
      </c>
      <c r="D16" s="2"/>
      <c r="E16" s="2">
        <v>7</v>
      </c>
      <c r="F16" s="2">
        <v>8</v>
      </c>
      <c r="G16" s="1">
        <v>0</v>
      </c>
      <c r="J16" s="1" t="s">
        <v>4</v>
      </c>
      <c r="K16" s="2">
        <f t="shared" si="4"/>
        <v>6</v>
      </c>
      <c r="L16" s="3">
        <f t="shared" si="4"/>
        <v>7</v>
      </c>
      <c r="M16" s="2">
        <f t="shared" si="4"/>
        <v>6</v>
      </c>
      <c r="N16" s="3">
        <f t="shared" si="4"/>
        <v>7</v>
      </c>
      <c r="O16" s="3">
        <f t="shared" si="4"/>
        <v>8</v>
      </c>
      <c r="P16" s="1">
        <v>0</v>
      </c>
      <c r="S16" s="1" t="s">
        <v>4</v>
      </c>
      <c r="T16" s="2">
        <f t="shared" si="5"/>
        <v>-1</v>
      </c>
      <c r="U16" s="3">
        <f t="shared" si="6"/>
        <v>0</v>
      </c>
      <c r="V16" s="2">
        <f t="shared" si="7"/>
        <v>-2</v>
      </c>
      <c r="W16" s="3">
        <f t="shared" si="8"/>
        <v>0</v>
      </c>
      <c r="X16" s="3">
        <f t="shared" si="9"/>
        <v>0</v>
      </c>
      <c r="Y16" s="1">
        <v>0</v>
      </c>
    </row>
    <row r="17" spans="1:24" ht="30" customHeight="1" x14ac:dyDescent="0.3">
      <c r="A17" s="1" t="s">
        <v>20</v>
      </c>
      <c r="B17" s="1">
        <v>6</v>
      </c>
      <c r="C17" s="1">
        <v>7</v>
      </c>
      <c r="D17" s="1">
        <v>6</v>
      </c>
      <c r="E17" s="1">
        <v>7</v>
      </c>
      <c r="F17" s="1">
        <v>8</v>
      </c>
      <c r="J17" s="1" t="s">
        <v>20</v>
      </c>
      <c r="K17" s="1" cm="1">
        <f t="array" ref="K17:O17">B17:F17</f>
        <v>6</v>
      </c>
      <c r="L17" s="1">
        <v>7</v>
      </c>
      <c r="M17" s="1">
        <v>6</v>
      </c>
      <c r="N17" s="1">
        <v>7</v>
      </c>
      <c r="O17" s="1">
        <v>8</v>
      </c>
      <c r="S17" s="1" t="s">
        <v>20</v>
      </c>
      <c r="T17" s="1" cm="1">
        <f t="array" ref="T17:X17">B17:F17</f>
        <v>6</v>
      </c>
      <c r="U17" s="1">
        <v>7</v>
      </c>
      <c r="V17" s="1">
        <v>6</v>
      </c>
      <c r="W17" s="1">
        <v>7</v>
      </c>
      <c r="X17" s="1">
        <v>8</v>
      </c>
    </row>
  </sheetData>
  <mergeCells count="5">
    <mergeCell ref="A1:G1"/>
    <mergeCell ref="J1:P1"/>
    <mergeCell ref="A10:G10"/>
    <mergeCell ref="J10:P10"/>
    <mergeCell ref="S10:Y10"/>
  </mergeCells>
  <conditionalFormatting sqref="B3:F7">
    <cfRule type="colorScale" priority="17">
      <colorScale>
        <cfvo type="min"/>
        <cfvo type="max"/>
        <color theme="4" tint="0.79998168889431442"/>
        <color theme="5" tint="0.79998168889431442"/>
      </colorScale>
    </cfRule>
  </conditionalFormatting>
  <conditionalFormatting sqref="K8:O8">
    <cfRule type="expression" dxfId="59" priority="10">
      <formula>K8=B8</formula>
    </cfRule>
  </conditionalFormatting>
  <conditionalFormatting sqref="P3:P7">
    <cfRule type="expression" dxfId="58" priority="9">
      <formula>P3=G3</formula>
    </cfRule>
  </conditionalFormatting>
  <conditionalFormatting sqref="K3:O7">
    <cfRule type="colorScale" priority="8">
      <colorScale>
        <cfvo type="min"/>
        <cfvo type="max"/>
        <color theme="4" tint="0.79998168889431442"/>
        <color theme="5" tint="0.79998168889431442"/>
      </colorScale>
    </cfRule>
  </conditionalFormatting>
  <conditionalFormatting sqref="B12:F16">
    <cfRule type="colorScale" priority="6">
      <colorScale>
        <cfvo type="min"/>
        <cfvo type="max"/>
        <color theme="4" tint="0.79998168889431442"/>
        <color theme="5" tint="0.79998168889431442"/>
      </colorScale>
    </cfRule>
  </conditionalFormatting>
  <conditionalFormatting sqref="K12:O16">
    <cfRule type="colorScale" priority="2">
      <colorScale>
        <cfvo type="min"/>
        <cfvo type="max"/>
        <color theme="4" tint="0.79998168889431442"/>
        <color theme="5" tint="0.79998168889431442"/>
      </colorScale>
    </cfRule>
  </conditionalFormatting>
  <conditionalFormatting sqref="T12:X16">
    <cfRule type="colorScale" priority="1">
      <colorScale>
        <cfvo type="min"/>
        <cfvo type="max"/>
        <color theme="4" tint="0.79998168889431442"/>
        <color theme="5" tint="0.79998168889431442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D2273-8953-47D1-B060-D05AECB64F7E}">
  <dimension ref="A1:AU47"/>
  <sheetViews>
    <sheetView topLeftCell="R39" zoomScale="120" zoomScaleNormal="120" workbookViewId="0">
      <selection activeCell="U13" sqref="U13"/>
    </sheetView>
  </sheetViews>
  <sheetFormatPr defaultColWidth="5.5546875" defaultRowHeight="30" customHeight="1" x14ac:dyDescent="0.3"/>
  <cols>
    <col min="1" max="8" width="5.5546875" style="1"/>
    <col min="9" max="9" width="5.5546875" style="1" customWidth="1"/>
    <col min="10" max="16384" width="5.5546875" style="1"/>
  </cols>
  <sheetData>
    <row r="1" spans="1:47" ht="30" customHeight="1" x14ac:dyDescent="0.3">
      <c r="A1" s="8" t="s">
        <v>12</v>
      </c>
      <c r="B1" s="8"/>
      <c r="C1" s="8"/>
      <c r="D1" s="8"/>
      <c r="E1" s="8"/>
      <c r="F1" s="8"/>
      <c r="G1" s="8"/>
      <c r="J1" s="8" t="s">
        <v>17</v>
      </c>
      <c r="K1" s="8"/>
      <c r="L1" s="8"/>
      <c r="M1" s="8"/>
      <c r="N1" s="8"/>
      <c r="O1" s="8"/>
      <c r="P1" s="8"/>
      <c r="Q1" s="1" cm="1">
        <f t="array" ref="Q1">SUM($B$3:$F$7*K3:O7)</f>
        <v>8900</v>
      </c>
      <c r="R1" s="1">
        <f>COUNT(K3:O7)</f>
        <v>9</v>
      </c>
    </row>
    <row r="2" spans="1:47" ht="30" customHeight="1" x14ac:dyDescent="0.3"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11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11</v>
      </c>
    </row>
    <row r="3" spans="1:47" ht="30" customHeight="1" x14ac:dyDescent="0.3">
      <c r="A3" s="1" t="s">
        <v>0</v>
      </c>
      <c r="B3" s="2">
        <v>8</v>
      </c>
      <c r="C3" s="2">
        <v>8</v>
      </c>
      <c r="D3" s="2">
        <v>6</v>
      </c>
      <c r="E3" s="2">
        <v>7</v>
      </c>
      <c r="F3" s="2">
        <v>8</v>
      </c>
      <c r="G3" s="1">
        <v>300</v>
      </c>
      <c r="J3" s="1" t="s">
        <v>0</v>
      </c>
      <c r="K3" s="2"/>
      <c r="L3" s="2"/>
      <c r="M3" s="2">
        <v>200</v>
      </c>
      <c r="N3" s="2">
        <v>100</v>
      </c>
      <c r="O3" s="2"/>
      <c r="P3" s="1">
        <f>SUM(K3:O3)</f>
        <v>300</v>
      </c>
    </row>
    <row r="4" spans="1:47" ht="30" customHeight="1" x14ac:dyDescent="0.3">
      <c r="A4" s="1" t="s">
        <v>1</v>
      </c>
      <c r="B4" s="2">
        <v>6</v>
      </c>
      <c r="C4" s="2">
        <v>7</v>
      </c>
      <c r="D4" s="2">
        <v>8</v>
      </c>
      <c r="E4" s="2">
        <v>9</v>
      </c>
      <c r="F4" s="2">
        <v>8</v>
      </c>
      <c r="G4" s="1">
        <v>200</v>
      </c>
      <c r="J4" s="1" t="s">
        <v>1</v>
      </c>
      <c r="K4" s="2">
        <v>100</v>
      </c>
      <c r="L4" s="2"/>
      <c r="M4" s="2"/>
      <c r="N4" s="2"/>
      <c r="O4" s="2">
        <v>100</v>
      </c>
      <c r="P4" s="1">
        <f t="shared" ref="P4:P7" si="0">SUM(K4:O4)</f>
        <v>200</v>
      </c>
    </row>
    <row r="5" spans="1:47" ht="30" customHeight="1" x14ac:dyDescent="0.3">
      <c r="A5" s="1" t="s">
        <v>2</v>
      </c>
      <c r="B5" s="2">
        <v>7</v>
      </c>
      <c r="C5" s="2">
        <v>8</v>
      </c>
      <c r="D5" s="2">
        <v>9</v>
      </c>
      <c r="E5" s="2">
        <v>9</v>
      </c>
      <c r="F5" s="2">
        <v>6</v>
      </c>
      <c r="G5" s="1">
        <v>200</v>
      </c>
      <c r="J5" s="1" t="s">
        <v>2</v>
      </c>
      <c r="K5" s="2"/>
      <c r="L5" s="2">
        <v>0</v>
      </c>
      <c r="M5" s="2"/>
      <c r="N5" s="2"/>
      <c r="O5" s="2">
        <v>200</v>
      </c>
      <c r="P5" s="1">
        <f t="shared" si="0"/>
        <v>200</v>
      </c>
    </row>
    <row r="6" spans="1:47" ht="30" customHeight="1" x14ac:dyDescent="0.3">
      <c r="A6" s="1" t="s">
        <v>3</v>
      </c>
      <c r="B6" s="2">
        <v>7</v>
      </c>
      <c r="C6" s="2">
        <v>7</v>
      </c>
      <c r="D6" s="2">
        <v>8</v>
      </c>
      <c r="E6" s="2">
        <v>8</v>
      </c>
      <c r="F6" s="2">
        <v>8</v>
      </c>
      <c r="G6" s="1">
        <v>200</v>
      </c>
      <c r="J6" s="1" t="s">
        <v>3</v>
      </c>
      <c r="K6" s="2"/>
      <c r="L6" s="2"/>
      <c r="M6" s="2"/>
      <c r="N6" s="2">
        <v>200</v>
      </c>
      <c r="O6" s="2"/>
      <c r="P6" s="1">
        <f t="shared" si="0"/>
        <v>200</v>
      </c>
    </row>
    <row r="7" spans="1:47" ht="30" customHeight="1" x14ac:dyDescent="0.3">
      <c r="A7" s="1" t="s">
        <v>4</v>
      </c>
      <c r="B7" s="2">
        <v>7</v>
      </c>
      <c r="C7" s="2">
        <v>7</v>
      </c>
      <c r="D7" s="2">
        <v>8</v>
      </c>
      <c r="E7" s="2">
        <v>7</v>
      </c>
      <c r="F7" s="2">
        <v>8</v>
      </c>
      <c r="G7" s="1">
        <v>400</v>
      </c>
      <c r="J7" s="1" t="s">
        <v>4</v>
      </c>
      <c r="K7" s="2"/>
      <c r="L7" s="2">
        <v>400</v>
      </c>
      <c r="M7" s="2">
        <v>0</v>
      </c>
      <c r="N7" s="2"/>
      <c r="O7" s="2"/>
      <c r="P7" s="1">
        <f t="shared" si="0"/>
        <v>400</v>
      </c>
    </row>
    <row r="8" spans="1:47" ht="30" customHeight="1" x14ac:dyDescent="0.3">
      <c r="A8" s="1" t="s">
        <v>10</v>
      </c>
      <c r="B8" s="1">
        <v>100</v>
      </c>
      <c r="C8" s="1">
        <v>400</v>
      </c>
      <c r="D8" s="1">
        <v>200</v>
      </c>
      <c r="E8" s="1">
        <v>300</v>
      </c>
      <c r="F8" s="1">
        <v>300</v>
      </c>
      <c r="J8" s="1" t="s">
        <v>10</v>
      </c>
      <c r="K8" s="1">
        <f>SUM(K3:K7)</f>
        <v>100</v>
      </c>
      <c r="L8" s="1">
        <f t="shared" ref="L8:O8" si="1">SUM(L3:L7)</f>
        <v>400</v>
      </c>
      <c r="M8" s="1">
        <f t="shared" si="1"/>
        <v>200</v>
      </c>
      <c r="N8" s="1">
        <f t="shared" si="1"/>
        <v>300</v>
      </c>
      <c r="O8" s="1">
        <f t="shared" si="1"/>
        <v>300</v>
      </c>
    </row>
    <row r="10" spans="1:47" ht="30" customHeight="1" x14ac:dyDescent="0.3">
      <c r="A10" s="8" t="s">
        <v>18</v>
      </c>
      <c r="B10" s="8"/>
      <c r="C10" s="8"/>
      <c r="D10" s="8"/>
      <c r="E10" s="8"/>
      <c r="F10" s="8"/>
      <c r="G10" s="8"/>
      <c r="J10" s="8" t="s">
        <v>21</v>
      </c>
      <c r="K10" s="8"/>
      <c r="L10" s="8"/>
      <c r="M10" s="8"/>
      <c r="N10" s="8"/>
      <c r="O10" s="8"/>
      <c r="P10" s="8"/>
      <c r="S10" s="8" t="s">
        <v>22</v>
      </c>
      <c r="T10" s="8"/>
      <c r="U10" s="8"/>
      <c r="V10" s="8"/>
      <c r="W10" s="8"/>
      <c r="X10" s="8"/>
      <c r="Y10" s="8"/>
      <c r="AB10" s="8" t="s">
        <v>23</v>
      </c>
      <c r="AC10" s="8"/>
      <c r="AD10" s="8"/>
      <c r="AE10" s="8"/>
      <c r="AF10" s="8"/>
      <c r="AG10" s="8"/>
      <c r="AH10" s="8"/>
      <c r="AI10" s="1" cm="1">
        <f t="array" ref="AI10">SUM($B$3:$F$7*AC12:AG16)</f>
        <v>8900</v>
      </c>
      <c r="AJ10" s="1">
        <f>COUNT(AC12:AG16)</f>
        <v>9</v>
      </c>
      <c r="AM10" s="8" t="s">
        <v>24</v>
      </c>
      <c r="AN10" s="8"/>
      <c r="AO10" s="8"/>
      <c r="AP10" s="8"/>
      <c r="AQ10" s="8"/>
      <c r="AR10" s="8"/>
      <c r="AS10" s="8"/>
      <c r="AT10" s="1" cm="1">
        <f t="array" ref="AT10">SUM($B$3:$F$7*AN12:AR16)</f>
        <v>8900</v>
      </c>
      <c r="AU10" s="1">
        <f>COUNT(AN12:AR16)</f>
        <v>9</v>
      </c>
    </row>
    <row r="11" spans="1:47" ht="30" customHeight="1" x14ac:dyDescent="0.3">
      <c r="B11" s="1" t="s">
        <v>5</v>
      </c>
      <c r="C11" s="1" t="s">
        <v>6</v>
      </c>
      <c r="D11" s="1" t="s">
        <v>7</v>
      </c>
      <c r="E11" s="1" t="s">
        <v>8</v>
      </c>
      <c r="F11" s="1" t="s">
        <v>9</v>
      </c>
      <c r="G11" s="1" t="s">
        <v>19</v>
      </c>
      <c r="K11" s="1" t="s">
        <v>5</v>
      </c>
      <c r="L11" s="1" t="s">
        <v>6</v>
      </c>
      <c r="M11" s="1" t="s">
        <v>7</v>
      </c>
      <c r="N11" s="1" t="s">
        <v>8</v>
      </c>
      <c r="O11" s="1" t="s">
        <v>9</v>
      </c>
      <c r="P11" s="1" t="s">
        <v>19</v>
      </c>
      <c r="T11" s="1" t="s">
        <v>5</v>
      </c>
      <c r="U11" s="1" t="s">
        <v>6</v>
      </c>
      <c r="V11" s="1" t="s">
        <v>7</v>
      </c>
      <c r="W11" s="1" t="s">
        <v>8</v>
      </c>
      <c r="X11" s="1" t="s">
        <v>9</v>
      </c>
      <c r="Y11" s="1" t="s">
        <v>19</v>
      </c>
      <c r="AC11" s="1" t="s">
        <v>5</v>
      </c>
      <c r="AD11" s="1" t="s">
        <v>6</v>
      </c>
      <c r="AE11" s="1" t="s">
        <v>7</v>
      </c>
      <c r="AF11" s="1" t="s">
        <v>8</v>
      </c>
      <c r="AG11" s="1" t="s">
        <v>9</v>
      </c>
      <c r="AH11" s="1" t="s">
        <v>11</v>
      </c>
      <c r="AN11" s="1" t="s">
        <v>5</v>
      </c>
      <c r="AO11" s="1" t="s">
        <v>6</v>
      </c>
      <c r="AP11" s="1" t="s">
        <v>7</v>
      </c>
      <c r="AQ11" s="1" t="s">
        <v>8</v>
      </c>
      <c r="AR11" s="1" t="s">
        <v>9</v>
      </c>
      <c r="AS11" s="1" t="s">
        <v>11</v>
      </c>
    </row>
    <row r="12" spans="1:47" ht="30" customHeight="1" x14ac:dyDescent="0.3">
      <c r="A12" s="1" t="s">
        <v>0</v>
      </c>
      <c r="B12" s="2"/>
      <c r="C12" s="2"/>
      <c r="D12" s="2">
        <v>6</v>
      </c>
      <c r="E12" s="2">
        <v>7</v>
      </c>
      <c r="F12" s="2"/>
      <c r="G12" s="1">
        <v>0</v>
      </c>
      <c r="J12" s="1" t="s">
        <v>0</v>
      </c>
      <c r="K12" s="4" cm="1">
        <f t="array" ref="K12:O16">_xlfn.ANCHORARRAY(K17)+_xlfn.ANCHORARRAY(P12)</f>
        <v>1</v>
      </c>
      <c r="L12" s="4">
        <v>5</v>
      </c>
      <c r="M12" s="3">
        <v>6</v>
      </c>
      <c r="N12" s="3">
        <v>7</v>
      </c>
      <c r="O12" s="4">
        <v>3</v>
      </c>
      <c r="P12" s="1" cm="1">
        <f t="array" ref="P12:P16">G12:G16</f>
        <v>0</v>
      </c>
      <c r="S12" s="1" t="s">
        <v>0</v>
      </c>
      <c r="T12" s="4" cm="1">
        <f t="array" ref="T12:X16">K12:O16-$B$3:$F$7</f>
        <v>-7</v>
      </c>
      <c r="U12" s="4">
        <v>-3</v>
      </c>
      <c r="V12" s="3">
        <v>0</v>
      </c>
      <c r="W12" s="3">
        <v>0</v>
      </c>
      <c r="X12" s="4">
        <v>-5</v>
      </c>
      <c r="Y12" s="1" cm="1">
        <f t="array" ref="Y12:Y16">G12:G16</f>
        <v>0</v>
      </c>
      <c r="AB12" s="1" t="s">
        <v>0</v>
      </c>
      <c r="AC12" s="9"/>
      <c r="AD12" s="9"/>
      <c r="AE12" s="9">
        <v>200</v>
      </c>
      <c r="AF12" s="9">
        <v>100</v>
      </c>
      <c r="AG12" s="9"/>
      <c r="AH12" s="1">
        <f>SUM(AC12:AG12)</f>
        <v>300</v>
      </c>
      <c r="AM12" s="1" t="s">
        <v>0</v>
      </c>
      <c r="AN12" s="9"/>
      <c r="AO12" s="9"/>
      <c r="AP12" s="9">
        <v>200</v>
      </c>
      <c r="AQ12" s="9">
        <v>100</v>
      </c>
      <c r="AR12" s="9"/>
      <c r="AS12" s="1">
        <f>SUM(AN12:AR12)</f>
        <v>300</v>
      </c>
    </row>
    <row r="13" spans="1:47" ht="30" customHeight="1" x14ac:dyDescent="0.3">
      <c r="A13" s="1" t="s">
        <v>1</v>
      </c>
      <c r="B13" s="2">
        <v>6</v>
      </c>
      <c r="C13" s="2"/>
      <c r="D13" s="2"/>
      <c r="E13" s="2"/>
      <c r="F13" s="2">
        <v>8</v>
      </c>
      <c r="G13" s="1">
        <v>5</v>
      </c>
      <c r="J13" s="1" t="s">
        <v>1</v>
      </c>
      <c r="K13" s="3">
        <v>6</v>
      </c>
      <c r="L13" s="4">
        <v>10</v>
      </c>
      <c r="M13" s="4">
        <v>11</v>
      </c>
      <c r="N13" s="4">
        <v>12</v>
      </c>
      <c r="O13" s="3">
        <v>8</v>
      </c>
      <c r="P13" s="1">
        <v>5</v>
      </c>
      <c r="S13" s="1" t="s">
        <v>1</v>
      </c>
      <c r="T13" s="3">
        <v>0</v>
      </c>
      <c r="U13" s="4">
        <v>3</v>
      </c>
      <c r="V13" s="4">
        <v>3</v>
      </c>
      <c r="W13" s="4">
        <v>3</v>
      </c>
      <c r="X13" s="3">
        <v>0</v>
      </c>
      <c r="Y13" s="1">
        <v>5</v>
      </c>
      <c r="AB13" s="1" t="s">
        <v>1</v>
      </c>
      <c r="AC13" s="9">
        <v>100</v>
      </c>
      <c r="AD13" s="5"/>
      <c r="AE13" s="9"/>
      <c r="AF13" s="9"/>
      <c r="AG13" s="6">
        <v>100</v>
      </c>
      <c r="AH13" s="1">
        <f t="shared" ref="AH13:AH16" si="2">SUM(AC13:AG13)</f>
        <v>200</v>
      </c>
      <c r="AM13" s="1" t="s">
        <v>1</v>
      </c>
      <c r="AN13" s="9">
        <v>100</v>
      </c>
      <c r="AO13" s="9">
        <v>0</v>
      </c>
      <c r="AP13" s="9"/>
      <c r="AQ13" s="9"/>
      <c r="AR13" s="9">
        <v>100</v>
      </c>
      <c r="AS13" s="1">
        <f t="shared" ref="AS13:AS16" si="3">SUM(AN13:AR13)</f>
        <v>200</v>
      </c>
    </row>
    <row r="14" spans="1:47" ht="30" customHeight="1" x14ac:dyDescent="0.3">
      <c r="A14" s="1" t="s">
        <v>2</v>
      </c>
      <c r="B14" s="2"/>
      <c r="C14" s="2">
        <v>8</v>
      </c>
      <c r="D14" s="2"/>
      <c r="E14" s="2"/>
      <c r="F14" s="2">
        <v>6</v>
      </c>
      <c r="G14" s="1">
        <v>3</v>
      </c>
      <c r="J14" s="1" t="s">
        <v>2</v>
      </c>
      <c r="K14" s="4">
        <v>4</v>
      </c>
      <c r="L14" s="3">
        <v>8</v>
      </c>
      <c r="M14" s="4">
        <v>9</v>
      </c>
      <c r="N14" s="4">
        <v>10</v>
      </c>
      <c r="O14" s="3">
        <v>6</v>
      </c>
      <c r="P14" s="1">
        <v>3</v>
      </c>
      <c r="S14" s="1" t="s">
        <v>2</v>
      </c>
      <c r="T14" s="4">
        <v>-3</v>
      </c>
      <c r="U14" s="3">
        <v>0</v>
      </c>
      <c r="V14" s="4">
        <v>0</v>
      </c>
      <c r="W14" s="4">
        <v>1</v>
      </c>
      <c r="X14" s="3">
        <v>0</v>
      </c>
      <c r="Y14" s="1">
        <v>3</v>
      </c>
      <c r="AB14" s="1" t="s">
        <v>2</v>
      </c>
      <c r="AC14" s="9"/>
      <c r="AD14" s="6">
        <v>0</v>
      </c>
      <c r="AE14" s="9"/>
      <c r="AF14" s="9"/>
      <c r="AG14" s="5">
        <v>200</v>
      </c>
      <c r="AH14" s="1">
        <f t="shared" si="2"/>
        <v>200</v>
      </c>
      <c r="AM14" s="1" t="s">
        <v>2</v>
      </c>
      <c r="AN14" s="9"/>
      <c r="AO14" s="9"/>
      <c r="AP14" s="9"/>
      <c r="AQ14" s="9"/>
      <c r="AR14" s="9">
        <v>200</v>
      </c>
      <c r="AS14" s="1">
        <f t="shared" si="3"/>
        <v>200</v>
      </c>
    </row>
    <row r="15" spans="1:47" ht="30" customHeight="1" x14ac:dyDescent="0.3">
      <c r="A15" s="1" t="s">
        <v>3</v>
      </c>
      <c r="B15" s="2"/>
      <c r="C15" s="2"/>
      <c r="D15" s="2"/>
      <c r="E15" s="2">
        <v>8</v>
      </c>
      <c r="F15" s="2"/>
      <c r="G15" s="1">
        <v>1</v>
      </c>
      <c r="J15" s="1" t="s">
        <v>3</v>
      </c>
      <c r="K15" s="4">
        <v>2</v>
      </c>
      <c r="L15" s="4">
        <v>6</v>
      </c>
      <c r="M15" s="4">
        <v>7</v>
      </c>
      <c r="N15" s="3">
        <v>8</v>
      </c>
      <c r="O15" s="4">
        <v>4</v>
      </c>
      <c r="P15" s="1">
        <v>1</v>
      </c>
      <c r="S15" s="1" t="s">
        <v>3</v>
      </c>
      <c r="T15" s="4">
        <v>-5</v>
      </c>
      <c r="U15" s="4">
        <v>-1</v>
      </c>
      <c r="V15" s="4">
        <v>-1</v>
      </c>
      <c r="W15" s="3">
        <v>0</v>
      </c>
      <c r="X15" s="4">
        <v>-4</v>
      </c>
      <c r="Y15" s="1">
        <v>1</v>
      </c>
      <c r="AB15" s="1" t="s">
        <v>3</v>
      </c>
      <c r="AC15" s="9"/>
      <c r="AD15" s="9"/>
      <c r="AE15" s="9"/>
      <c r="AF15" s="9">
        <v>200</v>
      </c>
      <c r="AG15" s="9"/>
      <c r="AH15" s="1">
        <f t="shared" si="2"/>
        <v>200</v>
      </c>
      <c r="AM15" s="1" t="s">
        <v>3</v>
      </c>
      <c r="AN15" s="9"/>
      <c r="AO15" s="9"/>
      <c r="AP15" s="9"/>
      <c r="AQ15" s="9">
        <v>200</v>
      </c>
      <c r="AR15" s="9"/>
      <c r="AS15" s="1">
        <f t="shared" si="3"/>
        <v>200</v>
      </c>
    </row>
    <row r="16" spans="1:47" ht="30" customHeight="1" x14ac:dyDescent="0.3">
      <c r="A16" s="1" t="s">
        <v>4</v>
      </c>
      <c r="B16" s="2"/>
      <c r="C16" s="2">
        <v>7</v>
      </c>
      <c r="D16" s="2">
        <v>8</v>
      </c>
      <c r="E16" s="2"/>
      <c r="F16" s="2"/>
      <c r="G16" s="1">
        <v>2</v>
      </c>
      <c r="J16" s="1" t="s">
        <v>4</v>
      </c>
      <c r="K16" s="4">
        <v>3</v>
      </c>
      <c r="L16" s="3">
        <v>7</v>
      </c>
      <c r="M16" s="3">
        <v>8</v>
      </c>
      <c r="N16" s="4">
        <v>9</v>
      </c>
      <c r="O16" s="4">
        <v>5</v>
      </c>
      <c r="P16" s="1">
        <v>2</v>
      </c>
      <c r="S16" s="1" t="s">
        <v>4</v>
      </c>
      <c r="T16" s="4">
        <v>-4</v>
      </c>
      <c r="U16" s="3">
        <v>0</v>
      </c>
      <c r="V16" s="3">
        <v>0</v>
      </c>
      <c r="W16" s="4">
        <v>2</v>
      </c>
      <c r="X16" s="4">
        <v>-3</v>
      </c>
      <c r="Y16" s="1">
        <v>2</v>
      </c>
      <c r="AB16" s="1" t="s">
        <v>4</v>
      </c>
      <c r="AC16" s="9"/>
      <c r="AD16" s="9">
        <v>400</v>
      </c>
      <c r="AE16" s="9">
        <v>0</v>
      </c>
      <c r="AF16" s="9"/>
      <c r="AG16" s="9"/>
      <c r="AH16" s="1">
        <f t="shared" si="2"/>
        <v>400</v>
      </c>
      <c r="AM16" s="1" t="s">
        <v>4</v>
      </c>
      <c r="AN16" s="9"/>
      <c r="AO16" s="9">
        <v>400</v>
      </c>
      <c r="AP16" s="9">
        <v>0</v>
      </c>
      <c r="AQ16" s="9"/>
      <c r="AR16" s="9"/>
      <c r="AS16" s="1">
        <f t="shared" si="3"/>
        <v>400</v>
      </c>
    </row>
    <row r="17" spans="1:47" ht="30" customHeight="1" x14ac:dyDescent="0.3">
      <c r="A17" s="1" t="s">
        <v>20</v>
      </c>
      <c r="B17" s="1">
        <v>1</v>
      </c>
      <c r="C17" s="1">
        <v>5</v>
      </c>
      <c r="D17" s="1">
        <v>6</v>
      </c>
      <c r="E17" s="1">
        <v>7</v>
      </c>
      <c r="F17" s="1">
        <v>3</v>
      </c>
      <c r="J17" s="1" t="s">
        <v>20</v>
      </c>
      <c r="K17" s="1" cm="1">
        <f t="array" ref="K17:O17">B17:F17</f>
        <v>1</v>
      </c>
      <c r="L17" s="1">
        <v>5</v>
      </c>
      <c r="M17" s="1">
        <v>6</v>
      </c>
      <c r="N17" s="1">
        <v>7</v>
      </c>
      <c r="O17" s="1">
        <v>3</v>
      </c>
      <c r="S17" s="1" t="s">
        <v>20</v>
      </c>
      <c r="T17" s="1" cm="1">
        <f t="array" ref="T17:X17">B17:F17</f>
        <v>1</v>
      </c>
      <c r="U17" s="1">
        <v>5</v>
      </c>
      <c r="V17" s="1">
        <v>6</v>
      </c>
      <c r="W17" s="1">
        <v>7</v>
      </c>
      <c r="X17" s="1">
        <v>3</v>
      </c>
      <c r="AB17" s="1" t="s">
        <v>10</v>
      </c>
      <c r="AC17" s="1">
        <f>SUM(AC12:AC16)</f>
        <v>100</v>
      </c>
      <c r="AD17" s="1">
        <f t="shared" ref="AD17:AG17" si="4">SUM(AD12:AD16)</f>
        <v>400</v>
      </c>
      <c r="AE17" s="1">
        <f t="shared" si="4"/>
        <v>200</v>
      </c>
      <c r="AF17" s="1">
        <f t="shared" si="4"/>
        <v>300</v>
      </c>
      <c r="AG17" s="1">
        <f t="shared" si="4"/>
        <v>300</v>
      </c>
      <c r="AM17" s="1" t="s">
        <v>10</v>
      </c>
      <c r="AN17" s="1">
        <f>SUM(AN12:AN16)</f>
        <v>100</v>
      </c>
      <c r="AO17" s="1">
        <f t="shared" ref="AO17:AR17" si="5">SUM(AO12:AO16)</f>
        <v>400</v>
      </c>
      <c r="AP17" s="1">
        <f t="shared" si="5"/>
        <v>200</v>
      </c>
      <c r="AQ17" s="1">
        <f t="shared" si="5"/>
        <v>300</v>
      </c>
      <c r="AR17" s="1">
        <f t="shared" si="5"/>
        <v>300</v>
      </c>
    </row>
    <row r="20" spans="1:47" ht="30" customHeight="1" x14ac:dyDescent="0.3">
      <c r="A20" s="8" t="s">
        <v>18</v>
      </c>
      <c r="B20" s="8"/>
      <c r="C20" s="8"/>
      <c r="D20" s="8"/>
      <c r="E20" s="8"/>
      <c r="F20" s="8"/>
      <c r="G20" s="8"/>
      <c r="J20" s="8" t="s">
        <v>21</v>
      </c>
      <c r="K20" s="8"/>
      <c r="L20" s="8"/>
      <c r="M20" s="8"/>
      <c r="N20" s="8"/>
      <c r="O20" s="8"/>
      <c r="P20" s="8"/>
      <c r="S20" s="8" t="s">
        <v>22</v>
      </c>
      <c r="T20" s="8"/>
      <c r="U20" s="8"/>
      <c r="V20" s="8"/>
      <c r="W20" s="8"/>
      <c r="X20" s="8"/>
      <c r="Y20" s="8"/>
      <c r="AB20" s="8" t="s">
        <v>23</v>
      </c>
      <c r="AC20" s="8"/>
      <c r="AD20" s="8"/>
      <c r="AE20" s="8"/>
      <c r="AF20" s="8"/>
      <c r="AG20" s="8"/>
      <c r="AH20" s="8"/>
      <c r="AI20" s="1" cm="1">
        <f t="array" ref="AI20">SUM($B$3:$F$7*AC22:AG26)</f>
        <v>8900</v>
      </c>
      <c r="AJ20" s="1">
        <f>COUNT(AC22:AG26)</f>
        <v>9</v>
      </c>
      <c r="AM20" s="8" t="s">
        <v>24</v>
      </c>
      <c r="AN20" s="8"/>
      <c r="AO20" s="8"/>
      <c r="AP20" s="8"/>
      <c r="AQ20" s="8"/>
      <c r="AR20" s="8"/>
      <c r="AS20" s="8"/>
      <c r="AT20" s="1" cm="1">
        <f t="array" ref="AT20">SUM($B$3:$F$7*AN22:AR26)</f>
        <v>8900</v>
      </c>
      <c r="AU20" s="1">
        <f>COUNT(AN22:AR26)</f>
        <v>9</v>
      </c>
    </row>
    <row r="21" spans="1:47" ht="30" customHeight="1" x14ac:dyDescent="0.3">
      <c r="B21" s="1" t="s">
        <v>5</v>
      </c>
      <c r="C21" s="1" t="s">
        <v>6</v>
      </c>
      <c r="D21" s="1" t="s">
        <v>7</v>
      </c>
      <c r="E21" s="1" t="s">
        <v>8</v>
      </c>
      <c r="F21" s="1" t="s">
        <v>9</v>
      </c>
      <c r="G21" s="1" t="s">
        <v>19</v>
      </c>
      <c r="K21" s="1" t="s">
        <v>5</v>
      </c>
      <c r="L21" s="1" t="s">
        <v>6</v>
      </c>
      <c r="M21" s="1" t="s">
        <v>7</v>
      </c>
      <c r="N21" s="1" t="s">
        <v>8</v>
      </c>
      <c r="O21" s="1" t="s">
        <v>9</v>
      </c>
      <c r="P21" s="1" t="s">
        <v>19</v>
      </c>
      <c r="T21" s="1" t="s">
        <v>5</v>
      </c>
      <c r="U21" s="1" t="s">
        <v>6</v>
      </c>
      <c r="V21" s="1" t="s">
        <v>7</v>
      </c>
      <c r="W21" s="1" t="s">
        <v>8</v>
      </c>
      <c r="X21" s="1" t="s">
        <v>9</v>
      </c>
      <c r="Y21" s="1" t="s">
        <v>19</v>
      </c>
      <c r="AC21" s="1" t="s">
        <v>5</v>
      </c>
      <c r="AD21" s="1" t="s">
        <v>6</v>
      </c>
      <c r="AE21" s="1" t="s">
        <v>7</v>
      </c>
      <c r="AF21" s="1" t="s">
        <v>8</v>
      </c>
      <c r="AG21" s="1" t="s">
        <v>9</v>
      </c>
      <c r="AH21" s="1" t="s">
        <v>11</v>
      </c>
      <c r="AN21" s="1" t="s">
        <v>5</v>
      </c>
      <c r="AO21" s="1" t="s">
        <v>6</v>
      </c>
      <c r="AP21" s="1" t="s">
        <v>7</v>
      </c>
      <c r="AQ21" s="1" t="s">
        <v>8</v>
      </c>
      <c r="AR21" s="1" t="s">
        <v>9</v>
      </c>
      <c r="AS21" s="1" t="s">
        <v>11</v>
      </c>
    </row>
    <row r="22" spans="1:47" ht="30" customHeight="1" x14ac:dyDescent="0.3">
      <c r="A22" s="1" t="s">
        <v>0</v>
      </c>
      <c r="B22" s="2"/>
      <c r="C22" s="2"/>
      <c r="D22" s="2">
        <v>6</v>
      </c>
      <c r="E22" s="2">
        <v>7</v>
      </c>
      <c r="F22" s="2"/>
      <c r="G22" s="1">
        <v>0</v>
      </c>
      <c r="J22" s="1" t="s">
        <v>0</v>
      </c>
      <c r="K22" s="4" cm="1">
        <f t="array" ref="K22:O26">_xlfn.ANCHORARRAY(K27)+_xlfn.ANCHORARRAY(P22)</f>
        <v>4</v>
      </c>
      <c r="L22" s="10">
        <v>5</v>
      </c>
      <c r="M22" s="10">
        <v>6</v>
      </c>
      <c r="N22" s="10">
        <v>7</v>
      </c>
      <c r="O22" s="10">
        <v>6</v>
      </c>
      <c r="P22" s="1" cm="1">
        <f t="array" ref="P22:P26">G22:G26</f>
        <v>0</v>
      </c>
      <c r="S22" s="1" t="s">
        <v>0</v>
      </c>
      <c r="T22" s="4" cm="1">
        <f t="array" ref="T22:X26">K22:O26-$B$3:$F$7</f>
        <v>-4</v>
      </c>
      <c r="U22" s="4">
        <v>-3</v>
      </c>
      <c r="V22" s="4">
        <v>0</v>
      </c>
      <c r="W22" s="4">
        <v>0</v>
      </c>
      <c r="X22" s="4">
        <v>-2</v>
      </c>
      <c r="Y22" s="1" cm="1">
        <f t="array" ref="Y22:Y26">G22:G26</f>
        <v>0</v>
      </c>
      <c r="AB22" s="1" t="s">
        <v>0</v>
      </c>
      <c r="AC22" s="9"/>
      <c r="AD22" s="9"/>
      <c r="AE22" s="5">
        <v>200</v>
      </c>
      <c r="AF22" s="6">
        <v>100</v>
      </c>
      <c r="AG22" s="9"/>
      <c r="AH22" s="1">
        <f>SUM(AC22:AG22)</f>
        <v>300</v>
      </c>
      <c r="AM22" s="1" t="s">
        <v>0</v>
      </c>
      <c r="AN22" s="9"/>
      <c r="AO22" s="9"/>
      <c r="AP22" s="9">
        <v>200</v>
      </c>
      <c r="AQ22" s="9">
        <v>100</v>
      </c>
      <c r="AR22" s="9"/>
      <c r="AS22" s="1">
        <f>SUM(AN22:AR22)</f>
        <v>300</v>
      </c>
    </row>
    <row r="23" spans="1:47" ht="30" customHeight="1" x14ac:dyDescent="0.3">
      <c r="A23" s="1" t="s">
        <v>1</v>
      </c>
      <c r="B23" s="2">
        <v>6</v>
      </c>
      <c r="C23" s="2">
        <v>7</v>
      </c>
      <c r="D23" s="2"/>
      <c r="E23" s="2"/>
      <c r="F23" s="2">
        <v>8</v>
      </c>
      <c r="G23" s="1">
        <v>2</v>
      </c>
      <c r="J23" s="1" t="s">
        <v>1</v>
      </c>
      <c r="K23" s="10">
        <v>6</v>
      </c>
      <c r="L23" s="10">
        <v>7</v>
      </c>
      <c r="M23" s="10">
        <v>8</v>
      </c>
      <c r="N23" s="10">
        <v>9</v>
      </c>
      <c r="O23" s="10">
        <v>8</v>
      </c>
      <c r="P23" s="1">
        <v>2</v>
      </c>
      <c r="S23" s="1" t="s">
        <v>1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1">
        <v>2</v>
      </c>
      <c r="AB23" s="1" t="s">
        <v>1</v>
      </c>
      <c r="AC23" s="9">
        <v>100</v>
      </c>
      <c r="AD23" s="9">
        <v>0</v>
      </c>
      <c r="AE23" s="9"/>
      <c r="AF23" s="9"/>
      <c r="AG23" s="9">
        <v>100</v>
      </c>
      <c r="AH23" s="1">
        <f t="shared" ref="AH23:AH26" si="6">SUM(AC23:AG23)</f>
        <v>200</v>
      </c>
      <c r="AM23" s="1" t="s">
        <v>1</v>
      </c>
      <c r="AN23" s="9">
        <v>100</v>
      </c>
      <c r="AO23" s="9">
        <v>0</v>
      </c>
      <c r="AP23" s="9"/>
      <c r="AQ23" s="9"/>
      <c r="AR23" s="9">
        <v>100</v>
      </c>
      <c r="AS23" s="1">
        <f t="shared" ref="AS23:AS26" si="7">SUM(AN23:AR23)</f>
        <v>200</v>
      </c>
    </row>
    <row r="24" spans="1:47" ht="30" customHeight="1" x14ac:dyDescent="0.3">
      <c r="A24" s="1" t="s">
        <v>2</v>
      </c>
      <c r="B24" s="2"/>
      <c r="C24" s="2"/>
      <c r="D24" s="2"/>
      <c r="E24" s="2"/>
      <c r="F24" s="2">
        <v>6</v>
      </c>
      <c r="G24" s="1">
        <v>0</v>
      </c>
      <c r="J24" s="1" t="s">
        <v>2</v>
      </c>
      <c r="K24" s="10">
        <v>4</v>
      </c>
      <c r="L24" s="10">
        <v>5</v>
      </c>
      <c r="M24" s="10">
        <v>6</v>
      </c>
      <c r="N24" s="10">
        <v>7</v>
      </c>
      <c r="O24" s="10">
        <v>6</v>
      </c>
      <c r="P24" s="1">
        <v>0</v>
      </c>
      <c r="S24" s="1" t="s">
        <v>2</v>
      </c>
      <c r="T24" s="4">
        <v>-3</v>
      </c>
      <c r="U24" s="4">
        <v>-3</v>
      </c>
      <c r="V24" s="4">
        <v>-3</v>
      </c>
      <c r="W24" s="4">
        <v>-2</v>
      </c>
      <c r="X24" s="4">
        <v>0</v>
      </c>
      <c r="Y24" s="1">
        <v>0</v>
      </c>
      <c r="AB24" s="1" t="s">
        <v>2</v>
      </c>
      <c r="AC24" s="9"/>
      <c r="AD24" s="9"/>
      <c r="AE24" s="9"/>
      <c r="AF24" s="9"/>
      <c r="AG24" s="9">
        <v>200</v>
      </c>
      <c r="AH24" s="1">
        <f t="shared" si="6"/>
        <v>200</v>
      </c>
      <c r="AM24" s="1" t="s">
        <v>2</v>
      </c>
      <c r="AN24" s="9"/>
      <c r="AO24" s="9"/>
      <c r="AP24" s="9"/>
      <c r="AQ24" s="9"/>
      <c r="AR24" s="9">
        <v>200</v>
      </c>
      <c r="AS24" s="1">
        <f t="shared" si="7"/>
        <v>200</v>
      </c>
    </row>
    <row r="25" spans="1:47" ht="30" customHeight="1" x14ac:dyDescent="0.3">
      <c r="A25" s="1" t="s">
        <v>3</v>
      </c>
      <c r="B25" s="2"/>
      <c r="C25" s="2"/>
      <c r="D25" s="2"/>
      <c r="E25" s="2">
        <v>8</v>
      </c>
      <c r="F25" s="2"/>
      <c r="G25" s="1">
        <v>1</v>
      </c>
      <c r="J25" s="1" t="s">
        <v>3</v>
      </c>
      <c r="K25" s="10">
        <v>5</v>
      </c>
      <c r="L25" s="10">
        <v>6</v>
      </c>
      <c r="M25" s="10">
        <v>7</v>
      </c>
      <c r="N25" s="10">
        <v>8</v>
      </c>
      <c r="O25" s="10">
        <v>7</v>
      </c>
      <c r="P25" s="1">
        <v>1</v>
      </c>
      <c r="S25" s="1" t="s">
        <v>3</v>
      </c>
      <c r="T25" s="4">
        <v>-2</v>
      </c>
      <c r="U25" s="4">
        <v>-1</v>
      </c>
      <c r="V25" s="4">
        <v>-1</v>
      </c>
      <c r="W25" s="4">
        <v>0</v>
      </c>
      <c r="X25" s="4">
        <v>-1</v>
      </c>
      <c r="Y25" s="1">
        <v>1</v>
      </c>
      <c r="AB25" s="1" t="s">
        <v>3</v>
      </c>
      <c r="AC25" s="9"/>
      <c r="AD25" s="9"/>
      <c r="AE25" s="9"/>
      <c r="AF25" s="9">
        <v>200</v>
      </c>
      <c r="AG25" s="9"/>
      <c r="AH25" s="1">
        <f t="shared" si="6"/>
        <v>200</v>
      </c>
      <c r="AM25" s="1" t="s">
        <v>3</v>
      </c>
      <c r="AN25" s="9"/>
      <c r="AO25" s="9"/>
      <c r="AP25" s="9"/>
      <c r="AQ25" s="9">
        <v>200</v>
      </c>
      <c r="AR25" s="9"/>
      <c r="AS25" s="1">
        <f t="shared" si="7"/>
        <v>200</v>
      </c>
    </row>
    <row r="26" spans="1:47" ht="30" customHeight="1" x14ac:dyDescent="0.3">
      <c r="A26" s="1" t="s">
        <v>4</v>
      </c>
      <c r="B26" s="2"/>
      <c r="C26" s="2">
        <v>7</v>
      </c>
      <c r="D26" s="2">
        <v>8</v>
      </c>
      <c r="E26" s="2"/>
      <c r="F26" s="2"/>
      <c r="G26" s="1">
        <v>2</v>
      </c>
      <c r="J26" s="1" t="s">
        <v>4</v>
      </c>
      <c r="K26" s="10">
        <v>6</v>
      </c>
      <c r="L26" s="10">
        <v>7</v>
      </c>
      <c r="M26" s="10">
        <v>8</v>
      </c>
      <c r="N26" s="10">
        <v>9</v>
      </c>
      <c r="O26" s="10">
        <v>8</v>
      </c>
      <c r="P26" s="1">
        <v>2</v>
      </c>
      <c r="S26" s="1" t="s">
        <v>4</v>
      </c>
      <c r="T26" s="4">
        <v>-1</v>
      </c>
      <c r="U26" s="4">
        <v>0</v>
      </c>
      <c r="V26" s="4">
        <v>0</v>
      </c>
      <c r="W26" s="4">
        <v>2</v>
      </c>
      <c r="X26" s="4">
        <v>0</v>
      </c>
      <c r="Y26" s="1">
        <v>2</v>
      </c>
      <c r="AB26" s="1" t="s">
        <v>4</v>
      </c>
      <c r="AC26" s="9"/>
      <c r="AD26" s="9">
        <v>400</v>
      </c>
      <c r="AE26" s="6">
        <v>0</v>
      </c>
      <c r="AF26" s="5"/>
      <c r="AG26" s="9"/>
      <c r="AH26" s="1">
        <f t="shared" si="6"/>
        <v>400</v>
      </c>
      <c r="AM26" s="1" t="s">
        <v>4</v>
      </c>
      <c r="AN26" s="9"/>
      <c r="AO26" s="9">
        <v>400</v>
      </c>
      <c r="AP26" s="9"/>
      <c r="AQ26" s="9">
        <v>0</v>
      </c>
      <c r="AR26" s="9"/>
      <c r="AS26" s="1">
        <f t="shared" si="7"/>
        <v>400</v>
      </c>
    </row>
    <row r="27" spans="1:47" ht="30" customHeight="1" x14ac:dyDescent="0.3">
      <c r="A27" s="1" t="s">
        <v>20</v>
      </c>
      <c r="B27" s="1">
        <v>4</v>
      </c>
      <c r="C27" s="1">
        <v>5</v>
      </c>
      <c r="D27" s="1">
        <v>6</v>
      </c>
      <c r="E27" s="1">
        <v>7</v>
      </c>
      <c r="F27" s="1">
        <v>6</v>
      </c>
      <c r="J27" s="1" t="s">
        <v>20</v>
      </c>
      <c r="K27" s="1" cm="1">
        <f t="array" ref="K27:O27">B27:F27</f>
        <v>4</v>
      </c>
      <c r="L27" s="1">
        <v>5</v>
      </c>
      <c r="M27" s="1">
        <v>6</v>
      </c>
      <c r="N27" s="1">
        <v>7</v>
      </c>
      <c r="O27" s="1">
        <v>6</v>
      </c>
      <c r="S27" s="1" t="s">
        <v>20</v>
      </c>
      <c r="T27" s="1" cm="1">
        <f t="array" ref="T27:X27">B27:F27</f>
        <v>4</v>
      </c>
      <c r="U27" s="1">
        <v>5</v>
      </c>
      <c r="V27" s="1">
        <v>6</v>
      </c>
      <c r="W27" s="1">
        <v>7</v>
      </c>
      <c r="X27" s="1">
        <v>6</v>
      </c>
      <c r="AB27" s="1" t="s">
        <v>10</v>
      </c>
      <c r="AC27" s="1">
        <f>SUM(AC22:AC26)</f>
        <v>100</v>
      </c>
      <c r="AD27" s="1">
        <f t="shared" ref="AD27:AG27" si="8">SUM(AD22:AD26)</f>
        <v>400</v>
      </c>
      <c r="AE27" s="1">
        <f t="shared" si="8"/>
        <v>200</v>
      </c>
      <c r="AF27" s="1">
        <f t="shared" si="8"/>
        <v>300</v>
      </c>
      <c r="AG27" s="1">
        <f t="shared" si="8"/>
        <v>300</v>
      </c>
      <c r="AM27" s="1" t="s">
        <v>10</v>
      </c>
      <c r="AN27" s="1">
        <f>SUM(AN22:AN26)</f>
        <v>100</v>
      </c>
      <c r="AO27" s="1">
        <f t="shared" ref="AO27:AR27" si="9">SUM(AO22:AO26)</f>
        <v>400</v>
      </c>
      <c r="AP27" s="1">
        <f t="shared" si="9"/>
        <v>200</v>
      </c>
      <c r="AQ27" s="1">
        <f t="shared" si="9"/>
        <v>300</v>
      </c>
      <c r="AR27" s="1">
        <f t="shared" si="9"/>
        <v>300</v>
      </c>
    </row>
    <row r="30" spans="1:47" ht="30" customHeight="1" x14ac:dyDescent="0.3">
      <c r="A30" s="8" t="s">
        <v>18</v>
      </c>
      <c r="B30" s="8"/>
      <c r="C30" s="8"/>
      <c r="D30" s="8"/>
      <c r="E30" s="8"/>
      <c r="F30" s="8"/>
      <c r="G30" s="8"/>
      <c r="J30" s="8" t="s">
        <v>21</v>
      </c>
      <c r="K30" s="8"/>
      <c r="L30" s="8"/>
      <c r="M30" s="8"/>
      <c r="N30" s="8"/>
      <c r="O30" s="8"/>
      <c r="P30" s="8"/>
      <c r="S30" s="8" t="s">
        <v>22</v>
      </c>
      <c r="T30" s="8"/>
      <c r="U30" s="8"/>
      <c r="V30" s="8"/>
      <c r="W30" s="8"/>
      <c r="X30" s="8"/>
      <c r="Y30" s="8"/>
      <c r="AB30" s="8" t="s">
        <v>23</v>
      </c>
      <c r="AC30" s="8"/>
      <c r="AD30" s="8"/>
      <c r="AE30" s="8"/>
      <c r="AF30" s="8"/>
      <c r="AG30" s="8"/>
      <c r="AH30" s="8"/>
      <c r="AI30" s="1" cm="1">
        <f t="array" ref="AI30">SUM($B$3:$F$7*AC32:AG36)</f>
        <v>8900</v>
      </c>
      <c r="AJ30" s="1">
        <f>COUNT(AC32:AG36)</f>
        <v>9</v>
      </c>
      <c r="AM30" s="8" t="s">
        <v>24</v>
      </c>
      <c r="AN30" s="8"/>
      <c r="AO30" s="8"/>
      <c r="AP30" s="8"/>
      <c r="AQ30" s="8"/>
      <c r="AR30" s="8"/>
      <c r="AS30" s="8"/>
      <c r="AT30" s="1" cm="1">
        <f t="array" ref="AT30">SUM($B$3:$F$7*AN32:AR36)</f>
        <v>8700</v>
      </c>
      <c r="AU30" s="1">
        <f>COUNT(AN32:AR36)</f>
        <v>9</v>
      </c>
    </row>
    <row r="31" spans="1:47" ht="30" customHeight="1" x14ac:dyDescent="0.3">
      <c r="B31" s="1" t="s">
        <v>5</v>
      </c>
      <c r="C31" s="1" t="s">
        <v>6</v>
      </c>
      <c r="D31" s="1" t="s">
        <v>7</v>
      </c>
      <c r="E31" s="1" t="s">
        <v>8</v>
      </c>
      <c r="F31" s="1" t="s">
        <v>9</v>
      </c>
      <c r="G31" s="1" t="s">
        <v>19</v>
      </c>
      <c r="K31" s="1" t="s">
        <v>5</v>
      </c>
      <c r="L31" s="1" t="s">
        <v>6</v>
      </c>
      <c r="M31" s="1" t="s">
        <v>7</v>
      </c>
      <c r="N31" s="1" t="s">
        <v>8</v>
      </c>
      <c r="O31" s="1" t="s">
        <v>9</v>
      </c>
      <c r="P31" s="1" t="s">
        <v>19</v>
      </c>
      <c r="T31" s="1" t="s">
        <v>5</v>
      </c>
      <c r="U31" s="1" t="s">
        <v>6</v>
      </c>
      <c r="V31" s="1" t="s">
        <v>7</v>
      </c>
      <c r="W31" s="1" t="s">
        <v>8</v>
      </c>
      <c r="X31" s="1" t="s">
        <v>9</v>
      </c>
      <c r="Y31" s="1" t="s">
        <v>19</v>
      </c>
      <c r="AC31" s="1" t="s">
        <v>5</v>
      </c>
      <c r="AD31" s="1" t="s">
        <v>6</v>
      </c>
      <c r="AE31" s="1" t="s">
        <v>7</v>
      </c>
      <c r="AF31" s="1" t="s">
        <v>8</v>
      </c>
      <c r="AG31" s="1" t="s">
        <v>9</v>
      </c>
      <c r="AH31" s="1" t="s">
        <v>11</v>
      </c>
      <c r="AN31" s="1" t="s">
        <v>5</v>
      </c>
      <c r="AO31" s="1" t="s">
        <v>6</v>
      </c>
      <c r="AP31" s="1" t="s">
        <v>7</v>
      </c>
      <c r="AQ31" s="1" t="s">
        <v>8</v>
      </c>
      <c r="AR31" s="1" t="s">
        <v>9</v>
      </c>
      <c r="AS31" s="1" t="s">
        <v>11</v>
      </c>
    </row>
    <row r="32" spans="1:47" ht="30" customHeight="1" x14ac:dyDescent="0.3">
      <c r="A32" s="1" t="s">
        <v>0</v>
      </c>
      <c r="B32" s="2"/>
      <c r="C32" s="2"/>
      <c r="D32" s="2">
        <v>6</v>
      </c>
      <c r="E32" s="2">
        <v>7</v>
      </c>
      <c r="F32" s="2"/>
      <c r="G32" s="1">
        <v>0</v>
      </c>
      <c r="J32" s="1" t="s">
        <v>0</v>
      </c>
      <c r="K32" s="4" cm="1">
        <f t="array" ref="K32:O36">_xlfn.ANCHORARRAY(K37)+_xlfn.ANCHORARRAY(P32)</f>
        <v>6</v>
      </c>
      <c r="L32" s="10">
        <v>7</v>
      </c>
      <c r="M32" s="10">
        <v>6</v>
      </c>
      <c r="N32" s="10">
        <v>7</v>
      </c>
      <c r="O32" s="10">
        <v>8</v>
      </c>
      <c r="P32" s="1" cm="1">
        <f t="array" ref="P32:P36">G32:G36</f>
        <v>0</v>
      </c>
      <c r="S32" s="1" t="s">
        <v>0</v>
      </c>
      <c r="T32" s="4" cm="1">
        <f t="array" ref="T32:X36">K32:O36-$B$3:$F$7</f>
        <v>-2</v>
      </c>
      <c r="U32" s="4">
        <v>-1</v>
      </c>
      <c r="V32" s="3">
        <v>0</v>
      </c>
      <c r="W32" s="3">
        <v>0</v>
      </c>
      <c r="X32" s="4">
        <v>0</v>
      </c>
      <c r="Y32" s="1" cm="1">
        <f t="array" ref="Y32:Y36">G32:G36</f>
        <v>0</v>
      </c>
      <c r="AB32" s="1" t="s">
        <v>0</v>
      </c>
      <c r="AC32" s="9"/>
      <c r="AD32" s="9"/>
      <c r="AE32" s="9">
        <v>200</v>
      </c>
      <c r="AF32" s="9">
        <v>100</v>
      </c>
      <c r="AG32" s="9"/>
      <c r="AH32" s="1">
        <f>SUM(AC32:AG32)</f>
        <v>300</v>
      </c>
      <c r="AM32" s="1" t="s">
        <v>0</v>
      </c>
      <c r="AN32" s="9"/>
      <c r="AO32" s="9"/>
      <c r="AP32" s="9">
        <v>200</v>
      </c>
      <c r="AQ32" s="9">
        <v>100</v>
      </c>
      <c r="AR32" s="9"/>
      <c r="AS32" s="1">
        <f>SUM(AN32:AR32)</f>
        <v>300</v>
      </c>
    </row>
    <row r="33" spans="1:45" ht="30" customHeight="1" x14ac:dyDescent="0.3">
      <c r="A33" s="1" t="s">
        <v>1</v>
      </c>
      <c r="B33" s="2">
        <v>6</v>
      </c>
      <c r="C33" s="2">
        <v>7</v>
      </c>
      <c r="D33" s="2"/>
      <c r="E33" s="2"/>
      <c r="F33" s="2">
        <v>8</v>
      </c>
      <c r="G33" s="1">
        <v>0</v>
      </c>
      <c r="J33" s="1" t="s">
        <v>1</v>
      </c>
      <c r="K33" s="10">
        <v>6</v>
      </c>
      <c r="L33" s="10">
        <v>7</v>
      </c>
      <c r="M33" s="10">
        <v>6</v>
      </c>
      <c r="N33" s="10">
        <v>7</v>
      </c>
      <c r="O33" s="10">
        <v>8</v>
      </c>
      <c r="P33" s="1">
        <v>0</v>
      </c>
      <c r="S33" s="1" t="s">
        <v>1</v>
      </c>
      <c r="T33" s="3">
        <v>0</v>
      </c>
      <c r="U33" s="3">
        <v>0</v>
      </c>
      <c r="V33" s="4">
        <v>-2</v>
      </c>
      <c r="W33" s="4">
        <v>-2</v>
      </c>
      <c r="X33" s="3">
        <v>0</v>
      </c>
      <c r="Y33" s="1">
        <v>0</v>
      </c>
      <c r="AB33" s="1" t="s">
        <v>1</v>
      </c>
      <c r="AC33" s="9">
        <v>100</v>
      </c>
      <c r="AD33" s="9">
        <v>0</v>
      </c>
      <c r="AE33" s="9"/>
      <c r="AF33" s="9"/>
      <c r="AG33" s="9">
        <v>100</v>
      </c>
      <c r="AH33" s="1">
        <f t="shared" ref="AH33:AH36" si="10">SUM(AC33:AG33)</f>
        <v>200</v>
      </c>
      <c r="AM33" s="1" t="s">
        <v>1</v>
      </c>
      <c r="AN33" s="9">
        <v>100</v>
      </c>
      <c r="AO33" s="9">
        <v>0</v>
      </c>
      <c r="AP33" s="9"/>
      <c r="AQ33" s="9"/>
      <c r="AR33" s="9">
        <v>100</v>
      </c>
      <c r="AS33" s="1">
        <f t="shared" ref="AS33:AS36" si="11">SUM(AN33:AR33)</f>
        <v>200</v>
      </c>
    </row>
    <row r="34" spans="1:45" ht="30" customHeight="1" x14ac:dyDescent="0.3">
      <c r="A34" s="1" t="s">
        <v>2</v>
      </c>
      <c r="B34" s="2"/>
      <c r="C34" s="2"/>
      <c r="D34" s="2"/>
      <c r="E34" s="2"/>
      <c r="F34" s="2">
        <v>6</v>
      </c>
      <c r="G34" s="1">
        <v>-2</v>
      </c>
      <c r="J34" s="1" t="s">
        <v>2</v>
      </c>
      <c r="K34" s="10">
        <v>4</v>
      </c>
      <c r="L34" s="10">
        <v>5</v>
      </c>
      <c r="M34" s="10">
        <v>4</v>
      </c>
      <c r="N34" s="10">
        <v>5</v>
      </c>
      <c r="O34" s="10">
        <v>6</v>
      </c>
      <c r="P34" s="1">
        <v>-2</v>
      </c>
      <c r="S34" s="1" t="s">
        <v>2</v>
      </c>
      <c r="T34" s="4">
        <v>-3</v>
      </c>
      <c r="U34" s="4">
        <v>-3</v>
      </c>
      <c r="V34" s="4">
        <v>-5</v>
      </c>
      <c r="W34" s="4">
        <v>-4</v>
      </c>
      <c r="X34" s="3">
        <v>0</v>
      </c>
      <c r="Y34" s="1">
        <v>-2</v>
      </c>
      <c r="AB34" s="1" t="s">
        <v>2</v>
      </c>
      <c r="AC34" s="9"/>
      <c r="AD34" s="9"/>
      <c r="AE34" s="9"/>
      <c r="AF34" s="9"/>
      <c r="AG34" s="9">
        <v>200</v>
      </c>
      <c r="AH34" s="1">
        <f t="shared" si="10"/>
        <v>200</v>
      </c>
      <c r="AM34" s="1" t="s">
        <v>2</v>
      </c>
      <c r="AN34" s="9"/>
      <c r="AO34" s="9"/>
      <c r="AP34" s="9"/>
      <c r="AQ34" s="9"/>
      <c r="AR34" s="9">
        <v>200</v>
      </c>
      <c r="AS34" s="1">
        <f t="shared" si="11"/>
        <v>200</v>
      </c>
    </row>
    <row r="35" spans="1:45" ht="30" customHeight="1" x14ac:dyDescent="0.3">
      <c r="A35" s="1" t="s">
        <v>3</v>
      </c>
      <c r="B35" s="2"/>
      <c r="C35" s="2"/>
      <c r="D35" s="2"/>
      <c r="E35" s="2">
        <v>8</v>
      </c>
      <c r="F35" s="2"/>
      <c r="G35" s="1">
        <v>1</v>
      </c>
      <c r="J35" s="1" t="s">
        <v>3</v>
      </c>
      <c r="K35" s="10">
        <v>7</v>
      </c>
      <c r="L35" s="10">
        <v>8</v>
      </c>
      <c r="M35" s="10">
        <v>7</v>
      </c>
      <c r="N35" s="10">
        <v>8</v>
      </c>
      <c r="O35" s="10">
        <v>9</v>
      </c>
      <c r="P35" s="1">
        <v>1</v>
      </c>
      <c r="S35" s="1" t="s">
        <v>3</v>
      </c>
      <c r="T35" s="4">
        <v>0</v>
      </c>
      <c r="U35" s="4">
        <v>1</v>
      </c>
      <c r="V35" s="4">
        <v>-1</v>
      </c>
      <c r="W35" s="3">
        <v>0</v>
      </c>
      <c r="X35" s="4">
        <v>1</v>
      </c>
      <c r="Y35" s="1">
        <v>1</v>
      </c>
      <c r="AB35" s="1" t="s">
        <v>3</v>
      </c>
      <c r="AC35" s="9"/>
      <c r="AD35" s="5"/>
      <c r="AE35" s="9"/>
      <c r="AF35" s="6">
        <v>200</v>
      </c>
      <c r="AG35" s="9"/>
      <c r="AH35" s="1">
        <f t="shared" si="10"/>
        <v>200</v>
      </c>
      <c r="AM35" s="1" t="s">
        <v>3</v>
      </c>
      <c r="AN35" s="9"/>
      <c r="AO35" s="7">
        <v>200</v>
      </c>
      <c r="AP35" s="7"/>
      <c r="AQ35" s="7"/>
      <c r="AR35" s="9"/>
      <c r="AS35" s="1">
        <f t="shared" si="11"/>
        <v>200</v>
      </c>
    </row>
    <row r="36" spans="1:45" ht="30" customHeight="1" x14ac:dyDescent="0.3">
      <c r="A36" s="1" t="s">
        <v>4</v>
      </c>
      <c r="B36" s="2"/>
      <c r="C36" s="2">
        <v>7</v>
      </c>
      <c r="D36" s="2"/>
      <c r="E36" s="2">
        <v>7</v>
      </c>
      <c r="F36" s="2"/>
      <c r="G36" s="1">
        <v>0</v>
      </c>
      <c r="J36" s="1" t="s">
        <v>4</v>
      </c>
      <c r="K36" s="10">
        <v>6</v>
      </c>
      <c r="L36" s="10">
        <v>7</v>
      </c>
      <c r="M36" s="10">
        <v>6</v>
      </c>
      <c r="N36" s="10">
        <v>7</v>
      </c>
      <c r="O36" s="10">
        <v>8</v>
      </c>
      <c r="P36" s="1">
        <v>0</v>
      </c>
      <c r="S36" s="1" t="s">
        <v>4</v>
      </c>
      <c r="T36" s="4">
        <v>-1</v>
      </c>
      <c r="U36" s="3">
        <v>0</v>
      </c>
      <c r="V36" s="4">
        <v>-2</v>
      </c>
      <c r="W36" s="3">
        <v>0</v>
      </c>
      <c r="X36" s="4">
        <v>0</v>
      </c>
      <c r="Y36" s="1">
        <v>0</v>
      </c>
      <c r="AB36" s="1" t="s">
        <v>4</v>
      </c>
      <c r="AC36" s="9"/>
      <c r="AD36" s="6">
        <v>400</v>
      </c>
      <c r="AE36" s="9"/>
      <c r="AF36" s="5">
        <v>0</v>
      </c>
      <c r="AG36" s="9"/>
      <c r="AH36" s="1">
        <f t="shared" si="10"/>
        <v>400</v>
      </c>
      <c r="AM36" s="1" t="s">
        <v>4</v>
      </c>
      <c r="AN36" s="9"/>
      <c r="AO36" s="7">
        <v>200</v>
      </c>
      <c r="AP36" s="7"/>
      <c r="AQ36" s="7">
        <v>200</v>
      </c>
      <c r="AR36" s="9"/>
      <c r="AS36" s="1">
        <f t="shared" si="11"/>
        <v>400</v>
      </c>
    </row>
    <row r="37" spans="1:45" ht="30" customHeight="1" x14ac:dyDescent="0.3">
      <c r="A37" s="1" t="s">
        <v>20</v>
      </c>
      <c r="B37" s="1">
        <v>6</v>
      </c>
      <c r="C37" s="1">
        <v>7</v>
      </c>
      <c r="D37" s="1">
        <v>6</v>
      </c>
      <c r="E37" s="1">
        <v>7</v>
      </c>
      <c r="F37" s="1">
        <v>8</v>
      </c>
      <c r="J37" s="1" t="s">
        <v>20</v>
      </c>
      <c r="K37" s="1" cm="1">
        <f t="array" ref="K37:O37">B37:F37</f>
        <v>6</v>
      </c>
      <c r="L37" s="1">
        <v>7</v>
      </c>
      <c r="M37" s="1">
        <v>6</v>
      </c>
      <c r="N37" s="1">
        <v>7</v>
      </c>
      <c r="O37" s="1">
        <v>8</v>
      </c>
      <c r="S37" s="1" t="s">
        <v>20</v>
      </c>
      <c r="T37" s="1" cm="1">
        <f t="array" ref="T37:X37">B37:F37</f>
        <v>6</v>
      </c>
      <c r="U37" s="1">
        <v>7</v>
      </c>
      <c r="V37" s="1">
        <v>6</v>
      </c>
      <c r="W37" s="1">
        <v>7</v>
      </c>
      <c r="X37" s="1">
        <v>8</v>
      </c>
      <c r="AB37" s="1" t="s">
        <v>10</v>
      </c>
      <c r="AC37" s="1">
        <f>SUM(AC32:AC36)</f>
        <v>100</v>
      </c>
      <c r="AD37" s="1">
        <f t="shared" ref="AD37:AG37" si="12">SUM(AD32:AD36)</f>
        <v>400</v>
      </c>
      <c r="AE37" s="1">
        <f t="shared" si="12"/>
        <v>200</v>
      </c>
      <c r="AF37" s="1">
        <f t="shared" si="12"/>
        <v>300</v>
      </c>
      <c r="AG37" s="1">
        <f t="shared" si="12"/>
        <v>300</v>
      </c>
      <c r="AM37" s="1" t="s">
        <v>10</v>
      </c>
      <c r="AN37" s="1">
        <f>SUM(AN32:AN36)</f>
        <v>100</v>
      </c>
      <c r="AO37" s="1">
        <f t="shared" ref="AO37:AR37" si="13">SUM(AO32:AO36)</f>
        <v>400</v>
      </c>
      <c r="AP37" s="1">
        <f t="shared" si="13"/>
        <v>200</v>
      </c>
      <c r="AQ37" s="1">
        <f t="shared" si="13"/>
        <v>300</v>
      </c>
      <c r="AR37" s="1">
        <f t="shared" si="13"/>
        <v>300</v>
      </c>
    </row>
    <row r="40" spans="1:45" ht="30" customHeight="1" x14ac:dyDescent="0.3">
      <c r="A40" s="8" t="s">
        <v>18</v>
      </c>
      <c r="B40" s="8"/>
      <c r="C40" s="8"/>
      <c r="D40" s="8"/>
      <c r="E40" s="8"/>
      <c r="F40" s="8"/>
      <c r="G40" s="8"/>
      <c r="J40" s="8" t="s">
        <v>21</v>
      </c>
      <c r="K40" s="8"/>
      <c r="L40" s="8"/>
      <c r="M40" s="8"/>
      <c r="N40" s="8"/>
      <c r="O40" s="8"/>
      <c r="P40" s="8"/>
      <c r="S40" s="8" t="s">
        <v>22</v>
      </c>
      <c r="T40" s="8"/>
      <c r="U40" s="8"/>
      <c r="V40" s="8"/>
      <c r="W40" s="8"/>
      <c r="X40" s="8"/>
      <c r="Y40" s="8"/>
      <c r="AB40" s="8" t="s">
        <v>25</v>
      </c>
      <c r="AC40" s="8"/>
      <c r="AD40" s="8"/>
      <c r="AE40" s="8"/>
      <c r="AF40" s="8"/>
      <c r="AG40" s="8"/>
      <c r="AH40" s="8"/>
      <c r="AI40" s="1" cm="1">
        <f t="array" ref="AI40">SUM($B$3:$F$7*AC42:AG46)</f>
        <v>8700</v>
      </c>
      <c r="AJ40" s="1">
        <f>COUNT(AC42:AG46)</f>
        <v>9</v>
      </c>
    </row>
    <row r="41" spans="1:45" ht="30" customHeight="1" x14ac:dyDescent="0.3">
      <c r="B41" s="1" t="s">
        <v>5</v>
      </c>
      <c r="C41" s="1" t="s">
        <v>6</v>
      </c>
      <c r="D41" s="1" t="s">
        <v>7</v>
      </c>
      <c r="E41" s="1" t="s">
        <v>8</v>
      </c>
      <c r="F41" s="1" t="s">
        <v>9</v>
      </c>
      <c r="G41" s="1" t="s">
        <v>19</v>
      </c>
      <c r="K41" s="1" t="s">
        <v>5</v>
      </c>
      <c r="L41" s="1" t="s">
        <v>6</v>
      </c>
      <c r="M41" s="1" t="s">
        <v>7</v>
      </c>
      <c r="N41" s="1" t="s">
        <v>8</v>
      </c>
      <c r="O41" s="1" t="s">
        <v>9</v>
      </c>
      <c r="P41" s="1" t="s">
        <v>19</v>
      </c>
      <c r="T41" s="1" t="s">
        <v>5</v>
      </c>
      <c r="U41" s="1" t="s">
        <v>6</v>
      </c>
      <c r="V41" s="1" t="s">
        <v>7</v>
      </c>
      <c r="W41" s="1" t="s">
        <v>8</v>
      </c>
      <c r="X41" s="1" t="s">
        <v>9</v>
      </c>
      <c r="Y41" s="1" t="s">
        <v>19</v>
      </c>
      <c r="AC41" s="1" t="s">
        <v>5</v>
      </c>
      <c r="AD41" s="1" t="s">
        <v>6</v>
      </c>
      <c r="AE41" s="1" t="s">
        <v>7</v>
      </c>
      <c r="AF41" s="1" t="s">
        <v>8</v>
      </c>
      <c r="AG41" s="1" t="s">
        <v>9</v>
      </c>
      <c r="AH41" s="1" t="s">
        <v>11</v>
      </c>
    </row>
    <row r="42" spans="1:45" ht="30" customHeight="1" x14ac:dyDescent="0.3">
      <c r="A42" s="1" t="s">
        <v>0</v>
      </c>
      <c r="B42" s="2"/>
      <c r="C42" s="2"/>
      <c r="D42" s="2">
        <v>6</v>
      </c>
      <c r="E42" s="2">
        <v>7</v>
      </c>
      <c r="F42" s="2"/>
      <c r="G42" s="1">
        <v>0</v>
      </c>
      <c r="J42" s="1" t="s">
        <v>0</v>
      </c>
      <c r="K42" s="4" cm="1">
        <f t="array" ref="K42:O46">_xlfn.ANCHORARRAY(K47)+_xlfn.ANCHORARRAY(P42)</f>
        <v>6</v>
      </c>
      <c r="L42" s="10">
        <v>7</v>
      </c>
      <c r="M42" s="10">
        <v>6</v>
      </c>
      <c r="N42" s="10">
        <v>7</v>
      </c>
      <c r="O42" s="10">
        <v>8</v>
      </c>
      <c r="P42" s="1" cm="1">
        <f t="array" ref="P42:P46">G42:G46</f>
        <v>0</v>
      </c>
      <c r="S42" s="1" t="s">
        <v>0</v>
      </c>
      <c r="T42" s="4" cm="1">
        <f t="array" ref="T42:X46">K42:O46-$B$3:$F$7</f>
        <v>-2</v>
      </c>
      <c r="U42" s="4">
        <v>-1</v>
      </c>
      <c r="V42" s="3">
        <v>0</v>
      </c>
      <c r="W42" s="3">
        <v>0</v>
      </c>
      <c r="X42" s="4">
        <v>0</v>
      </c>
      <c r="Y42" s="1" cm="1">
        <f t="array" ref="Y42:Y46">G42:G46</f>
        <v>0</v>
      </c>
      <c r="AB42" s="1" t="s">
        <v>0</v>
      </c>
      <c r="AC42" s="2"/>
      <c r="AD42" s="2"/>
      <c r="AE42" s="2">
        <v>200</v>
      </c>
      <c r="AF42" s="2">
        <v>100</v>
      </c>
      <c r="AG42" s="2"/>
      <c r="AH42" s="1">
        <f>SUM(AC42:AG42)</f>
        <v>300</v>
      </c>
    </row>
    <row r="43" spans="1:45" ht="30" customHeight="1" x14ac:dyDescent="0.3">
      <c r="A43" s="1" t="s">
        <v>1</v>
      </c>
      <c r="B43" s="2">
        <v>6</v>
      </c>
      <c r="C43" s="2">
        <v>7</v>
      </c>
      <c r="D43" s="2"/>
      <c r="E43" s="2"/>
      <c r="F43" s="2">
        <v>8</v>
      </c>
      <c r="G43" s="1">
        <v>0</v>
      </c>
      <c r="J43" s="1" t="s">
        <v>1</v>
      </c>
      <c r="K43" s="10">
        <v>6</v>
      </c>
      <c r="L43" s="10">
        <v>7</v>
      </c>
      <c r="M43" s="10">
        <v>6</v>
      </c>
      <c r="N43" s="10">
        <v>7</v>
      </c>
      <c r="O43" s="10">
        <v>8</v>
      </c>
      <c r="P43" s="1">
        <v>0</v>
      </c>
      <c r="S43" s="1" t="s">
        <v>1</v>
      </c>
      <c r="T43" s="3">
        <v>0</v>
      </c>
      <c r="U43" s="3">
        <v>0</v>
      </c>
      <c r="V43" s="4">
        <v>-2</v>
      </c>
      <c r="W43" s="4">
        <v>-2</v>
      </c>
      <c r="X43" s="3">
        <v>0</v>
      </c>
      <c r="Y43" s="1">
        <v>0</v>
      </c>
      <c r="AB43" s="1" t="s">
        <v>1</v>
      </c>
      <c r="AC43" s="2">
        <v>100</v>
      </c>
      <c r="AD43" s="2">
        <v>0</v>
      </c>
      <c r="AE43" s="2"/>
      <c r="AF43" s="2"/>
      <c r="AG43" s="2">
        <v>100</v>
      </c>
      <c r="AH43" s="1">
        <f t="shared" ref="AH43:AH46" si="14">SUM(AC43:AG43)</f>
        <v>200</v>
      </c>
    </row>
    <row r="44" spans="1:45" ht="30" customHeight="1" x14ac:dyDescent="0.3">
      <c r="A44" s="1" t="s">
        <v>2</v>
      </c>
      <c r="B44" s="2"/>
      <c r="C44" s="2"/>
      <c r="D44" s="2"/>
      <c r="E44" s="2"/>
      <c r="F44" s="2">
        <v>6</v>
      </c>
      <c r="G44" s="1">
        <v>-2</v>
      </c>
      <c r="J44" s="1" t="s">
        <v>2</v>
      </c>
      <c r="K44" s="10">
        <v>4</v>
      </c>
      <c r="L44" s="10">
        <v>5</v>
      </c>
      <c r="M44" s="10">
        <v>4</v>
      </c>
      <c r="N44" s="10">
        <v>5</v>
      </c>
      <c r="O44" s="10">
        <v>6</v>
      </c>
      <c r="P44" s="1">
        <v>-2</v>
      </c>
      <c r="S44" s="1" t="s">
        <v>2</v>
      </c>
      <c r="T44" s="4">
        <v>-3</v>
      </c>
      <c r="U44" s="4">
        <v>-3</v>
      </c>
      <c r="V44" s="4">
        <v>-5</v>
      </c>
      <c r="W44" s="4">
        <v>-4</v>
      </c>
      <c r="X44" s="3">
        <v>0</v>
      </c>
      <c r="Y44" s="1">
        <v>-2</v>
      </c>
      <c r="AB44" s="1" t="s">
        <v>2</v>
      </c>
      <c r="AC44" s="2"/>
      <c r="AD44" s="2"/>
      <c r="AE44" s="2"/>
      <c r="AF44" s="2"/>
      <c r="AG44" s="2">
        <v>200</v>
      </c>
      <c r="AH44" s="1">
        <f t="shared" si="14"/>
        <v>200</v>
      </c>
    </row>
    <row r="45" spans="1:45" ht="30" customHeight="1" x14ac:dyDescent="0.3">
      <c r="A45" s="1" t="s">
        <v>3</v>
      </c>
      <c r="B45" s="2"/>
      <c r="C45" s="2">
        <v>7</v>
      </c>
      <c r="D45" s="2"/>
      <c r="E45" s="2"/>
      <c r="F45" s="2"/>
      <c r="G45" s="1">
        <v>0</v>
      </c>
      <c r="J45" s="1" t="s">
        <v>3</v>
      </c>
      <c r="K45" s="10">
        <v>6</v>
      </c>
      <c r="L45" s="10">
        <v>7</v>
      </c>
      <c r="M45" s="10">
        <v>6</v>
      </c>
      <c r="N45" s="10">
        <v>7</v>
      </c>
      <c r="O45" s="10">
        <v>8</v>
      </c>
      <c r="P45" s="1">
        <v>0</v>
      </c>
      <c r="S45" s="1" t="s">
        <v>3</v>
      </c>
      <c r="T45" s="4">
        <v>-1</v>
      </c>
      <c r="U45" s="3">
        <v>0</v>
      </c>
      <c r="V45" s="10">
        <v>-2</v>
      </c>
      <c r="W45" s="10">
        <v>-1</v>
      </c>
      <c r="X45" s="4">
        <v>0</v>
      </c>
      <c r="Y45" s="1">
        <v>0</v>
      </c>
      <c r="AB45" s="1" t="s">
        <v>3</v>
      </c>
      <c r="AC45" s="2"/>
      <c r="AD45" s="2">
        <v>200</v>
      </c>
      <c r="AE45" s="2"/>
      <c r="AF45" s="2"/>
      <c r="AG45" s="2"/>
      <c r="AH45" s="1">
        <f t="shared" si="14"/>
        <v>200</v>
      </c>
    </row>
    <row r="46" spans="1:45" ht="30" customHeight="1" x14ac:dyDescent="0.3">
      <c r="A46" s="1" t="s">
        <v>4</v>
      </c>
      <c r="B46" s="2"/>
      <c r="C46" s="2">
        <v>7</v>
      </c>
      <c r="D46" s="2"/>
      <c r="E46" s="2">
        <v>7</v>
      </c>
      <c r="F46" s="2"/>
      <c r="G46" s="1">
        <v>0</v>
      </c>
      <c r="J46" s="1" t="s">
        <v>4</v>
      </c>
      <c r="K46" s="10">
        <v>6</v>
      </c>
      <c r="L46" s="10">
        <v>7</v>
      </c>
      <c r="M46" s="10">
        <v>6</v>
      </c>
      <c r="N46" s="10">
        <v>7</v>
      </c>
      <c r="O46" s="10">
        <v>8</v>
      </c>
      <c r="P46" s="1">
        <v>0</v>
      </c>
      <c r="S46" s="1" t="s">
        <v>4</v>
      </c>
      <c r="T46" s="4">
        <v>-1</v>
      </c>
      <c r="U46" s="3">
        <v>0</v>
      </c>
      <c r="V46" s="10">
        <v>-2</v>
      </c>
      <c r="W46" s="3">
        <v>0</v>
      </c>
      <c r="X46" s="4">
        <v>0</v>
      </c>
      <c r="Y46" s="1">
        <v>0</v>
      </c>
      <c r="AB46" s="1" t="s">
        <v>4</v>
      </c>
      <c r="AC46" s="2"/>
      <c r="AD46" s="2">
        <v>200</v>
      </c>
      <c r="AE46" s="2"/>
      <c r="AF46" s="2">
        <v>200</v>
      </c>
      <c r="AG46" s="2"/>
      <c r="AH46" s="1">
        <f t="shared" si="14"/>
        <v>400</v>
      </c>
    </row>
    <row r="47" spans="1:45" ht="30" customHeight="1" x14ac:dyDescent="0.3">
      <c r="A47" s="1" t="s">
        <v>20</v>
      </c>
      <c r="B47" s="1">
        <v>6</v>
      </c>
      <c r="C47" s="1">
        <v>7</v>
      </c>
      <c r="D47" s="1">
        <v>6</v>
      </c>
      <c r="E47" s="1">
        <v>7</v>
      </c>
      <c r="F47" s="1">
        <v>8</v>
      </c>
      <c r="J47" s="1" t="s">
        <v>20</v>
      </c>
      <c r="K47" s="1" cm="1">
        <f t="array" ref="K47:O47">B47:F47</f>
        <v>6</v>
      </c>
      <c r="L47" s="1">
        <v>7</v>
      </c>
      <c r="M47" s="1">
        <v>6</v>
      </c>
      <c r="N47" s="1">
        <v>7</v>
      </c>
      <c r="O47" s="1">
        <v>8</v>
      </c>
      <c r="S47" s="1" t="s">
        <v>20</v>
      </c>
      <c r="T47" s="1" cm="1">
        <f t="array" ref="T47:X47">B47:F47</f>
        <v>6</v>
      </c>
      <c r="U47" s="1">
        <v>7</v>
      </c>
      <c r="V47" s="1">
        <v>6</v>
      </c>
      <c r="W47" s="1">
        <v>7</v>
      </c>
      <c r="X47" s="1">
        <v>8</v>
      </c>
      <c r="AB47" s="1" t="s">
        <v>10</v>
      </c>
      <c r="AC47" s="1">
        <f>SUM(AC42:AC46)</f>
        <v>100</v>
      </c>
      <c r="AD47" s="1">
        <f t="shared" ref="AD47:AG47" si="15">SUM(AD42:AD46)</f>
        <v>400</v>
      </c>
      <c r="AE47" s="1">
        <f t="shared" si="15"/>
        <v>200</v>
      </c>
      <c r="AF47" s="1">
        <f t="shared" si="15"/>
        <v>300</v>
      </c>
      <c r="AG47" s="1">
        <f t="shared" si="15"/>
        <v>300</v>
      </c>
    </row>
  </sheetData>
  <mergeCells count="21">
    <mergeCell ref="A40:G40"/>
    <mergeCell ref="J40:P40"/>
    <mergeCell ref="S40:Y40"/>
    <mergeCell ref="AB40:AH40"/>
    <mergeCell ref="A30:G30"/>
    <mergeCell ref="J30:P30"/>
    <mergeCell ref="S30:Y30"/>
    <mergeCell ref="AB30:AH30"/>
    <mergeCell ref="AM30:AS30"/>
    <mergeCell ref="A20:G20"/>
    <mergeCell ref="J20:P20"/>
    <mergeCell ref="S20:Y20"/>
    <mergeCell ref="AB20:AH20"/>
    <mergeCell ref="AM20:AS20"/>
    <mergeCell ref="AM10:AS10"/>
    <mergeCell ref="A1:G1"/>
    <mergeCell ref="J1:P1"/>
    <mergeCell ref="A10:G10"/>
    <mergeCell ref="J10:P10"/>
    <mergeCell ref="S10:Y10"/>
    <mergeCell ref="AB10:AH10"/>
  </mergeCells>
  <conditionalFormatting sqref="B3:F7">
    <cfRule type="colorScale" priority="37">
      <colorScale>
        <cfvo type="min"/>
        <cfvo type="max"/>
        <color theme="4" tint="0.79998168889431442"/>
        <color theme="5" tint="0.79998168889431442"/>
      </colorScale>
    </cfRule>
  </conditionalFormatting>
  <conditionalFormatting sqref="K8:O8">
    <cfRule type="expression" dxfId="57" priority="36">
      <formula>K8=B8</formula>
    </cfRule>
  </conditionalFormatting>
  <conditionalFormatting sqref="P3:P7">
    <cfRule type="expression" dxfId="56" priority="35">
      <formula>P3=G3</formula>
    </cfRule>
  </conditionalFormatting>
  <conditionalFormatting sqref="K12:O16">
    <cfRule type="colorScale" priority="32">
      <colorScale>
        <cfvo type="min"/>
        <cfvo type="max"/>
        <color theme="4" tint="0.79998168889431442"/>
        <color theme="5" tint="0.79998168889431442"/>
      </colorScale>
    </cfRule>
  </conditionalFormatting>
  <conditionalFormatting sqref="T12:X16">
    <cfRule type="colorScale" priority="31">
      <colorScale>
        <cfvo type="min"/>
        <cfvo type="max"/>
        <color theme="4" tint="0.79998168889431442"/>
        <color theme="5" tint="0.79998168889431442"/>
      </colorScale>
    </cfRule>
  </conditionalFormatting>
  <conditionalFormatting sqref="K3:O7">
    <cfRule type="colorScale" priority="30">
      <colorScale>
        <cfvo type="min"/>
        <cfvo type="max"/>
        <color theme="4" tint="0.79998168889431442"/>
        <color theme="5" tint="0.79998168889431442"/>
      </colorScale>
    </cfRule>
  </conditionalFormatting>
  <conditionalFormatting sqref="B12:F16">
    <cfRule type="colorScale" priority="29">
      <colorScale>
        <cfvo type="min"/>
        <cfvo type="max"/>
        <color theme="4" tint="0.79998168889431442"/>
        <color theme="5" tint="0.79998168889431442"/>
      </colorScale>
    </cfRule>
  </conditionalFormatting>
  <conditionalFormatting sqref="AC17:AG17">
    <cfRule type="expression" dxfId="55" priority="28">
      <formula>AC17=T17</formula>
    </cfRule>
  </conditionalFormatting>
  <conditionalFormatting sqref="AH12:AH16">
    <cfRule type="expression" dxfId="54" priority="27">
      <formula>AH12=Y12</formula>
    </cfRule>
  </conditionalFormatting>
  <conditionalFormatting sqref="AN17:AR17">
    <cfRule type="expression" dxfId="53" priority="25">
      <formula>AN17=AE17</formula>
    </cfRule>
  </conditionalFormatting>
  <conditionalFormatting sqref="AS12:AS16">
    <cfRule type="expression" dxfId="52" priority="24">
      <formula>AS12=AJ12</formula>
    </cfRule>
  </conditionalFormatting>
  <conditionalFormatting sqref="K23:O26 L22:O22">
    <cfRule type="colorScale" priority="23">
      <colorScale>
        <cfvo type="min"/>
        <cfvo type="max"/>
        <color theme="4" tint="0.79998168889431442"/>
        <color theme="5" tint="0.79998168889431442"/>
      </colorScale>
    </cfRule>
  </conditionalFormatting>
  <conditionalFormatting sqref="T22:X26">
    <cfRule type="colorScale" priority="22">
      <colorScale>
        <cfvo type="min"/>
        <cfvo type="max"/>
        <color theme="4" tint="0.79998168889431442"/>
        <color theme="5" tint="0.79998168889431442"/>
      </colorScale>
    </cfRule>
  </conditionalFormatting>
  <conditionalFormatting sqref="B22:F26">
    <cfRule type="colorScale" priority="21">
      <colorScale>
        <cfvo type="min"/>
        <cfvo type="max"/>
        <color theme="4" tint="0.79998168889431442"/>
        <color theme="5" tint="0.79998168889431442"/>
      </colorScale>
    </cfRule>
  </conditionalFormatting>
  <conditionalFormatting sqref="AC27:AG27">
    <cfRule type="expression" dxfId="51" priority="20">
      <formula>AC27=T27</formula>
    </cfRule>
  </conditionalFormatting>
  <conditionalFormatting sqref="AH22:AH26">
    <cfRule type="expression" dxfId="50" priority="19">
      <formula>AH22=Y22</formula>
    </cfRule>
  </conditionalFormatting>
  <conditionalFormatting sqref="AN27:AR27">
    <cfRule type="expression" dxfId="49" priority="18">
      <formula>AN27=AE27</formula>
    </cfRule>
  </conditionalFormatting>
  <conditionalFormatting sqref="AS22:AS26">
    <cfRule type="expression" dxfId="48" priority="17">
      <formula>AS22=AJ22</formula>
    </cfRule>
  </conditionalFormatting>
  <conditionalFormatting sqref="K33:O36 L32:O32">
    <cfRule type="colorScale" priority="16">
      <colorScale>
        <cfvo type="min"/>
        <cfvo type="max"/>
        <color theme="4" tint="0.79998168889431442"/>
        <color theme="5" tint="0.79998168889431442"/>
      </colorScale>
    </cfRule>
  </conditionalFormatting>
  <conditionalFormatting sqref="T32:X36">
    <cfRule type="colorScale" priority="15">
      <colorScale>
        <cfvo type="min"/>
        <cfvo type="max"/>
        <color theme="4" tint="0.79998168889431442"/>
        <color theme="5" tint="0.79998168889431442"/>
      </colorScale>
    </cfRule>
  </conditionalFormatting>
  <conditionalFormatting sqref="B32:F36">
    <cfRule type="colorScale" priority="14">
      <colorScale>
        <cfvo type="min"/>
        <cfvo type="max"/>
        <color theme="4" tint="0.79998168889431442"/>
        <color theme="5" tint="0.79998168889431442"/>
      </colorScale>
    </cfRule>
  </conditionalFormatting>
  <conditionalFormatting sqref="AC37:AG37">
    <cfRule type="expression" dxfId="47" priority="13">
      <formula>AC37=T37</formula>
    </cfRule>
  </conditionalFormatting>
  <conditionalFormatting sqref="AH32:AH36">
    <cfRule type="expression" dxfId="46" priority="12">
      <formula>AH32=Y32</formula>
    </cfRule>
  </conditionalFormatting>
  <conditionalFormatting sqref="K22">
    <cfRule type="colorScale" priority="9">
      <colorScale>
        <cfvo type="min"/>
        <cfvo type="max"/>
        <color theme="4" tint="0.79998168889431442"/>
        <color theme="5" tint="0.79998168889431442"/>
      </colorScale>
    </cfRule>
  </conditionalFormatting>
  <conditionalFormatting sqref="K32">
    <cfRule type="colorScale" priority="8">
      <colorScale>
        <cfvo type="min"/>
        <cfvo type="max"/>
        <color theme="4" tint="0.79998168889431442"/>
        <color theme="5" tint="0.79998168889431442"/>
      </colorScale>
    </cfRule>
  </conditionalFormatting>
  <conditionalFormatting sqref="K43:O46 L42:O42">
    <cfRule type="colorScale" priority="7">
      <colorScale>
        <cfvo type="min"/>
        <cfvo type="max"/>
        <color theme="4" tint="0.79998168889431442"/>
        <color theme="5" tint="0.79998168889431442"/>
      </colorScale>
    </cfRule>
  </conditionalFormatting>
  <conditionalFormatting sqref="T42:X46">
    <cfRule type="colorScale" priority="6">
      <colorScale>
        <cfvo type="min"/>
        <cfvo type="max"/>
        <color theme="4" tint="0.79998168889431442"/>
        <color theme="5" tint="0.79998168889431442"/>
      </colorScale>
    </cfRule>
  </conditionalFormatting>
  <conditionalFormatting sqref="B42:F46">
    <cfRule type="colorScale" priority="5">
      <colorScale>
        <cfvo type="min"/>
        <cfvo type="max"/>
        <color theme="4" tint="0.79998168889431442"/>
        <color theme="5" tint="0.79998168889431442"/>
      </colorScale>
    </cfRule>
  </conditionalFormatting>
  <conditionalFormatting sqref="K42">
    <cfRule type="colorScale" priority="4">
      <colorScale>
        <cfvo type="min"/>
        <cfvo type="max"/>
        <color theme="4" tint="0.79998168889431442"/>
        <color theme="5" tint="0.79998168889431442"/>
      </colorScale>
    </cfRule>
  </conditionalFormatting>
  <conditionalFormatting sqref="AC47:AG47">
    <cfRule type="expression" dxfId="43" priority="3">
      <formula>AC47=T47</formula>
    </cfRule>
  </conditionalFormatting>
  <conditionalFormatting sqref="AH42:AH46">
    <cfRule type="expression" dxfId="42" priority="2">
      <formula>AH42=Y42</formula>
    </cfRule>
  </conditionalFormatting>
  <conditionalFormatting sqref="AC42:AG46">
    <cfRule type="colorScale" priority="1">
      <colorScale>
        <cfvo type="min"/>
        <cfvo type="max"/>
        <color theme="4" tint="0.79998168889431442"/>
        <color theme="5" tint="0.79998168889431442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41BF6-DE3B-4048-94DF-B0D4BA0B0CA5}">
  <dimension ref="A1:AY18"/>
  <sheetViews>
    <sheetView topLeftCell="J1" zoomScale="120" zoomScaleNormal="120" workbookViewId="0">
      <selection activeCell="H11" sqref="H11"/>
    </sheetView>
  </sheetViews>
  <sheetFormatPr defaultColWidth="5.5546875" defaultRowHeight="30" customHeight="1" x14ac:dyDescent="0.3"/>
  <cols>
    <col min="1" max="8" width="5.5546875" style="1"/>
    <col min="9" max="16" width="5.5546875" style="1" customWidth="1"/>
    <col min="17" max="17" width="7" style="1" customWidth="1"/>
    <col min="18" max="26" width="5.5546875" style="1" customWidth="1"/>
    <col min="27" max="27" width="8.33203125" style="1" customWidth="1"/>
    <col min="28" max="29" width="5.5546875" style="1" customWidth="1"/>
    <col min="30" max="16384" width="5.5546875" style="1"/>
  </cols>
  <sheetData>
    <row r="1" spans="1:51" ht="30" customHeight="1" x14ac:dyDescent="0.3">
      <c r="A1" s="8" t="s">
        <v>26</v>
      </c>
      <c r="B1" s="8"/>
      <c r="C1" s="8"/>
      <c r="D1" s="8"/>
      <c r="E1" s="8"/>
      <c r="F1" s="8"/>
      <c r="G1" s="8"/>
      <c r="J1" s="8" t="s">
        <v>13</v>
      </c>
      <c r="K1" s="8"/>
      <c r="L1" s="8"/>
      <c r="M1" s="8"/>
      <c r="N1" s="8"/>
      <c r="O1" s="8"/>
      <c r="P1" s="8"/>
      <c r="Q1" s="1" cm="1">
        <f t="array" ref="Q1">SUM($B$3:$F$7*K3:O7)</f>
        <v>7556</v>
      </c>
      <c r="R1" s="1">
        <f>COUNT(K3:O7)</f>
        <v>9</v>
      </c>
      <c r="T1" s="8" t="s">
        <v>14</v>
      </c>
      <c r="U1" s="8"/>
      <c r="V1" s="8"/>
      <c r="W1" s="8"/>
      <c r="X1" s="8"/>
      <c r="Y1" s="8"/>
      <c r="Z1" s="8"/>
      <c r="AA1" s="1" cm="1">
        <f t="array" ref="AA1">SUM($B$3:$F$7*U3:Y7)</f>
        <v>6036</v>
      </c>
      <c r="AB1" s="1">
        <f>COUNT(U3:Y7)</f>
        <v>9</v>
      </c>
      <c r="AD1" s="8" t="s">
        <v>15</v>
      </c>
      <c r="AE1" s="8"/>
      <c r="AF1" s="8"/>
      <c r="AG1" s="8"/>
      <c r="AH1" s="8"/>
      <c r="AI1" s="8"/>
      <c r="AJ1" s="8"/>
      <c r="AK1" s="1" cm="1">
        <f t="array" ref="AK1">SUM($B$3:$F$7*AE3:AI7)</f>
        <v>6036</v>
      </c>
      <c r="AL1" s="1">
        <f>COUNT(AE3:AI7)</f>
        <v>9</v>
      </c>
    </row>
    <row r="2" spans="1:51" ht="30" customHeight="1" x14ac:dyDescent="0.3"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11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11</v>
      </c>
      <c r="U2" s="1" t="s">
        <v>5</v>
      </c>
      <c r="V2" s="1" t="s">
        <v>6</v>
      </c>
      <c r="W2" s="1" t="s">
        <v>7</v>
      </c>
      <c r="X2" s="1" t="s">
        <v>8</v>
      </c>
      <c r="Y2" s="1" t="s">
        <v>9</v>
      </c>
      <c r="Z2" s="1" t="s">
        <v>11</v>
      </c>
      <c r="AE2" s="1" t="s">
        <v>5</v>
      </c>
      <c r="AF2" s="1" t="s">
        <v>6</v>
      </c>
      <c r="AG2" s="1" t="s">
        <v>7</v>
      </c>
      <c r="AH2" s="1" t="s">
        <v>8</v>
      </c>
      <c r="AI2" s="1" t="s">
        <v>9</v>
      </c>
      <c r="AJ2" s="1" t="s">
        <v>11</v>
      </c>
      <c r="AS2" s="1" t="s">
        <v>16</v>
      </c>
    </row>
    <row r="3" spans="1:51" ht="30" customHeight="1" x14ac:dyDescent="0.3">
      <c r="A3" s="1" t="s">
        <v>0</v>
      </c>
      <c r="B3" s="2">
        <v>4</v>
      </c>
      <c r="C3" s="2">
        <v>5</v>
      </c>
      <c r="D3" s="2">
        <v>6</v>
      </c>
      <c r="E3" s="2">
        <v>6</v>
      </c>
      <c r="F3" s="2">
        <v>4</v>
      </c>
      <c r="G3" s="1">
        <v>250</v>
      </c>
      <c r="J3" s="1" t="s">
        <v>0</v>
      </c>
      <c r="K3" s="2">
        <v>242</v>
      </c>
      <c r="L3" s="2">
        <v>8</v>
      </c>
      <c r="M3" s="2"/>
      <c r="N3" s="2"/>
      <c r="O3" s="2"/>
      <c r="P3" s="1">
        <f>SUM(K3:O3)</f>
        <v>250</v>
      </c>
      <c r="T3" s="1" t="s">
        <v>0</v>
      </c>
      <c r="U3" s="2">
        <v>208</v>
      </c>
      <c r="V3" s="2"/>
      <c r="W3" s="2">
        <v>18</v>
      </c>
      <c r="X3" s="2"/>
      <c r="Y3" s="2">
        <v>24</v>
      </c>
      <c r="Z3" s="1">
        <f>SUM(U3:Y3)</f>
        <v>250</v>
      </c>
      <c r="AD3" s="1" t="s">
        <v>0</v>
      </c>
      <c r="AE3" s="2">
        <v>208</v>
      </c>
      <c r="AF3" s="2"/>
      <c r="AG3" s="2">
        <v>18</v>
      </c>
      <c r="AH3" s="2"/>
      <c r="AI3" s="2">
        <v>24</v>
      </c>
      <c r="AJ3" s="1">
        <f>SUM(AE3:AI3)</f>
        <v>250</v>
      </c>
      <c r="AN3" s="2"/>
      <c r="AO3" s="2"/>
      <c r="AP3" s="2">
        <v>6</v>
      </c>
      <c r="AQ3" s="2"/>
      <c r="AR3" s="2"/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2</v>
      </c>
    </row>
    <row r="4" spans="1:51" ht="30" customHeight="1" x14ac:dyDescent="0.3">
      <c r="A4" s="1" t="s">
        <v>1</v>
      </c>
      <c r="B4" s="2">
        <v>3</v>
      </c>
      <c r="C4" s="2">
        <v>3</v>
      </c>
      <c r="D4" s="2">
        <v>6</v>
      </c>
      <c r="E4" s="2">
        <v>5</v>
      </c>
      <c r="F4" s="2">
        <v>7</v>
      </c>
      <c r="G4" s="1">
        <v>300</v>
      </c>
      <c r="J4" s="1" t="s">
        <v>1</v>
      </c>
      <c r="K4" s="2"/>
      <c r="L4" s="2">
        <v>258</v>
      </c>
      <c r="M4" s="2">
        <v>42</v>
      </c>
      <c r="N4" s="2"/>
      <c r="O4" s="2"/>
      <c r="P4" s="1">
        <f t="shared" ref="P4:P7" si="0">SUM(K4:O4)</f>
        <v>300</v>
      </c>
      <c r="T4" s="1" t="s">
        <v>1</v>
      </c>
      <c r="U4" s="2">
        <v>34</v>
      </c>
      <c r="V4" s="2">
        <v>266</v>
      </c>
      <c r="W4" s="2"/>
      <c r="X4" s="2"/>
      <c r="Y4" s="2"/>
      <c r="Z4" s="1">
        <f t="shared" ref="Z4:Z7" si="1">SUM(U4:Y4)</f>
        <v>300</v>
      </c>
      <c r="AD4" s="1" t="s">
        <v>1</v>
      </c>
      <c r="AE4" s="2">
        <v>34</v>
      </c>
      <c r="AF4" s="2">
        <v>266</v>
      </c>
      <c r="AG4" s="2"/>
      <c r="AH4" s="2"/>
      <c r="AI4" s="2"/>
      <c r="AJ4" s="1">
        <f t="shared" ref="AJ4:AJ7" si="2">SUM(AE4:AI4)</f>
        <v>300</v>
      </c>
      <c r="AN4" s="2"/>
      <c r="AO4" s="2"/>
      <c r="AP4" s="2"/>
      <c r="AQ4" s="2"/>
      <c r="AR4" s="2"/>
      <c r="AS4" s="1">
        <v>0</v>
      </c>
      <c r="AT4" s="1">
        <v>2</v>
      </c>
    </row>
    <row r="5" spans="1:51" ht="30" customHeight="1" x14ac:dyDescent="0.3">
      <c r="A5" s="1" t="s">
        <v>2</v>
      </c>
      <c r="B5" s="2">
        <v>5</v>
      </c>
      <c r="C5" s="2">
        <v>6</v>
      </c>
      <c r="D5" s="2">
        <v>7</v>
      </c>
      <c r="E5" s="2">
        <v>7</v>
      </c>
      <c r="F5" s="2">
        <v>4</v>
      </c>
      <c r="G5" s="1">
        <v>350</v>
      </c>
      <c r="J5" s="1" t="s">
        <v>2</v>
      </c>
      <c r="K5" s="2"/>
      <c r="L5" s="2"/>
      <c r="M5" s="2">
        <v>236</v>
      </c>
      <c r="N5" s="2">
        <v>114</v>
      </c>
      <c r="O5" s="2"/>
      <c r="P5" s="1">
        <f t="shared" si="0"/>
        <v>350</v>
      </c>
      <c r="T5" s="1" t="s">
        <v>2</v>
      </c>
      <c r="U5" s="2"/>
      <c r="V5" s="2"/>
      <c r="W5" s="2"/>
      <c r="X5" s="2"/>
      <c r="Y5" s="2">
        <v>350</v>
      </c>
      <c r="Z5" s="1">
        <f t="shared" si="1"/>
        <v>350</v>
      </c>
      <c r="AD5" s="1" t="s">
        <v>2</v>
      </c>
      <c r="AE5" s="2"/>
      <c r="AF5" s="2"/>
      <c r="AG5" s="2"/>
      <c r="AH5" s="2"/>
      <c r="AI5" s="2">
        <v>350</v>
      </c>
      <c r="AJ5" s="1">
        <f t="shared" si="2"/>
        <v>350</v>
      </c>
      <c r="AN5" s="2"/>
      <c r="AO5" s="2"/>
      <c r="AP5" s="2"/>
      <c r="AQ5" s="2"/>
      <c r="AR5" s="2"/>
      <c r="AS5" s="1">
        <v>1</v>
      </c>
      <c r="AT5" s="1">
        <v>1</v>
      </c>
      <c r="AU5" s="1">
        <v>1</v>
      </c>
      <c r="AV5" s="1">
        <v>1</v>
      </c>
      <c r="AW5" s="1">
        <v>1</v>
      </c>
    </row>
    <row r="6" spans="1:51" ht="30" customHeight="1" x14ac:dyDescent="0.3">
      <c r="A6" s="1" t="s">
        <v>3</v>
      </c>
      <c r="B6" s="2">
        <v>7</v>
      </c>
      <c r="C6" s="2">
        <v>6</v>
      </c>
      <c r="D6" s="2">
        <v>4</v>
      </c>
      <c r="E6" s="2">
        <v>4</v>
      </c>
      <c r="F6" s="2">
        <v>7</v>
      </c>
      <c r="G6" s="1">
        <v>300</v>
      </c>
      <c r="J6" s="1" t="s">
        <v>3</v>
      </c>
      <c r="K6" s="2"/>
      <c r="L6" s="2"/>
      <c r="M6" s="2"/>
      <c r="N6" s="2">
        <v>176</v>
      </c>
      <c r="O6" s="2">
        <v>124</v>
      </c>
      <c r="P6" s="1">
        <f t="shared" si="0"/>
        <v>300</v>
      </c>
      <c r="T6" s="1" t="s">
        <v>3</v>
      </c>
      <c r="U6" s="2"/>
      <c r="V6" s="2"/>
      <c r="W6" s="2">
        <v>10</v>
      </c>
      <c r="X6" s="2">
        <v>290</v>
      </c>
      <c r="Y6" s="2"/>
      <c r="Z6" s="1">
        <f t="shared" si="1"/>
        <v>300</v>
      </c>
      <c r="AD6" s="1" t="s">
        <v>3</v>
      </c>
      <c r="AE6" s="2"/>
      <c r="AF6" s="2"/>
      <c r="AG6" s="2">
        <v>10</v>
      </c>
      <c r="AH6" s="2">
        <v>290</v>
      </c>
      <c r="AI6" s="2"/>
      <c r="AJ6" s="1">
        <f t="shared" si="2"/>
        <v>300</v>
      </c>
      <c r="AN6" s="2"/>
      <c r="AO6" s="2"/>
      <c r="AP6" s="2"/>
      <c r="AQ6" s="2"/>
      <c r="AR6" s="2"/>
      <c r="AS6" s="1">
        <v>0</v>
      </c>
      <c r="AT6" s="1">
        <v>0</v>
      </c>
      <c r="AU6" s="1">
        <v>0</v>
      </c>
      <c r="AV6" s="1">
        <v>3</v>
      </c>
    </row>
    <row r="7" spans="1:51" ht="30" customHeight="1" x14ac:dyDescent="0.3">
      <c r="A7" s="1" t="s">
        <v>4</v>
      </c>
      <c r="B7" s="2">
        <v>6</v>
      </c>
      <c r="C7" s="2">
        <v>5</v>
      </c>
      <c r="D7" s="2">
        <v>6</v>
      </c>
      <c r="E7" s="2">
        <v>7</v>
      </c>
      <c r="F7" s="2">
        <v>6</v>
      </c>
      <c r="G7" s="1">
        <v>250</v>
      </c>
      <c r="J7" s="1" t="s">
        <v>4</v>
      </c>
      <c r="K7" s="2"/>
      <c r="L7" s="2"/>
      <c r="M7" s="2"/>
      <c r="N7" s="2"/>
      <c r="O7" s="2">
        <v>250</v>
      </c>
      <c r="P7" s="1">
        <f t="shared" si="0"/>
        <v>250</v>
      </c>
      <c r="T7" s="1" t="s">
        <v>4</v>
      </c>
      <c r="U7" s="2"/>
      <c r="V7" s="2"/>
      <c r="W7" s="2">
        <v>250</v>
      </c>
      <c r="X7" s="2"/>
      <c r="Y7" s="2"/>
      <c r="Z7" s="1">
        <f t="shared" si="1"/>
        <v>250</v>
      </c>
      <c r="AD7" s="1" t="s">
        <v>4</v>
      </c>
      <c r="AE7" s="2"/>
      <c r="AF7" s="2"/>
      <c r="AG7" s="2">
        <v>250</v>
      </c>
      <c r="AH7" s="2"/>
      <c r="AI7" s="2"/>
      <c r="AJ7" s="1">
        <f t="shared" si="2"/>
        <v>250</v>
      </c>
      <c r="AN7" s="2"/>
      <c r="AO7" s="2"/>
      <c r="AP7" s="2">
        <v>6</v>
      </c>
      <c r="AQ7" s="2"/>
      <c r="AR7" s="2"/>
      <c r="AS7" s="1">
        <v>1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</row>
    <row r="8" spans="1:51" ht="30" customHeight="1" x14ac:dyDescent="0.3">
      <c r="A8" s="1" t="s">
        <v>10</v>
      </c>
      <c r="B8" s="1" cm="1">
        <f t="array" ref="B8:F8">B18:F18+$G$18/5</f>
        <v>242</v>
      </c>
      <c r="C8" s="1">
        <v>266</v>
      </c>
      <c r="D8" s="1">
        <v>278</v>
      </c>
      <c r="E8" s="1">
        <v>290</v>
      </c>
      <c r="F8" s="1">
        <v>374</v>
      </c>
      <c r="G8" s="11">
        <f>SUM(G3:G7)-SUM(B8:F8)</f>
        <v>0</v>
      </c>
      <c r="J8" s="1" t="s">
        <v>10</v>
      </c>
      <c r="K8" s="1">
        <f>SUM(K3:K7)</f>
        <v>242</v>
      </c>
      <c r="L8" s="1">
        <f t="shared" ref="L8:O8" si="3">SUM(L3:L7)</f>
        <v>266</v>
      </c>
      <c r="M8" s="1">
        <f t="shared" si="3"/>
        <v>278</v>
      </c>
      <c r="N8" s="1">
        <f t="shared" si="3"/>
        <v>290</v>
      </c>
      <c r="O8" s="1">
        <f t="shared" si="3"/>
        <v>374</v>
      </c>
      <c r="T8" s="1" t="s">
        <v>10</v>
      </c>
      <c r="U8" s="1">
        <f>SUM(U3:U7)</f>
        <v>242</v>
      </c>
      <c r="V8" s="1">
        <f t="shared" ref="V8:Y8" si="4">SUM(V3:V7)</f>
        <v>266</v>
      </c>
      <c r="W8" s="1">
        <f t="shared" si="4"/>
        <v>278</v>
      </c>
      <c r="X8" s="1">
        <f t="shared" si="4"/>
        <v>290</v>
      </c>
      <c r="Y8" s="1">
        <f t="shared" si="4"/>
        <v>374</v>
      </c>
      <c r="AD8" s="1" t="s">
        <v>10</v>
      </c>
      <c r="AE8" s="1">
        <f>SUM(AE3:AE7)</f>
        <v>242</v>
      </c>
      <c r="AF8" s="1">
        <f t="shared" ref="AF8:AI8" si="5">SUM(AF3:AF7)</f>
        <v>266</v>
      </c>
      <c r="AG8" s="1">
        <f t="shared" si="5"/>
        <v>278</v>
      </c>
      <c r="AH8" s="1">
        <f t="shared" si="5"/>
        <v>290</v>
      </c>
      <c r="AI8" s="1">
        <f t="shared" si="5"/>
        <v>374</v>
      </c>
      <c r="AM8" s="1" t="s">
        <v>16</v>
      </c>
      <c r="AN8" s="1">
        <v>1</v>
      </c>
      <c r="AO8" s="1">
        <v>2</v>
      </c>
      <c r="AP8" s="1">
        <v>2</v>
      </c>
      <c r="AQ8" s="1">
        <v>1</v>
      </c>
      <c r="AR8" s="1">
        <v>0</v>
      </c>
    </row>
    <row r="9" spans="1:51" ht="30" customHeight="1" x14ac:dyDescent="0.3">
      <c r="AN9" s="1">
        <v>1</v>
      </c>
      <c r="AP9" s="1">
        <v>2</v>
      </c>
      <c r="AQ9" s="1">
        <v>1</v>
      </c>
      <c r="AR9" s="1">
        <v>0</v>
      </c>
    </row>
    <row r="10" spans="1:51" ht="30" customHeight="1" x14ac:dyDescent="0.3">
      <c r="AN10" s="1">
        <v>1</v>
      </c>
      <c r="AP10" s="1">
        <v>2</v>
      </c>
      <c r="AQ10" s="1">
        <v>2</v>
      </c>
      <c r="AR10" s="1">
        <v>0</v>
      </c>
    </row>
    <row r="11" spans="1:51" ht="30" customHeight="1" x14ac:dyDescent="0.3">
      <c r="A11" s="8" t="s">
        <v>12</v>
      </c>
      <c r="B11" s="8"/>
      <c r="C11" s="8"/>
      <c r="D11" s="8"/>
      <c r="E11" s="8"/>
      <c r="F11" s="8"/>
      <c r="G11" s="8"/>
      <c r="AN11" s="1">
        <v>1</v>
      </c>
      <c r="AP11" s="1">
        <v>2</v>
      </c>
      <c r="AR11" s="1">
        <v>0</v>
      </c>
    </row>
    <row r="12" spans="1:51" ht="30" customHeight="1" x14ac:dyDescent="0.3">
      <c r="B12" s="1" t="s">
        <v>5</v>
      </c>
      <c r="C12" s="1" t="s">
        <v>6</v>
      </c>
      <c r="D12" s="1" t="s">
        <v>7</v>
      </c>
      <c r="E12" s="1" t="s">
        <v>8</v>
      </c>
      <c r="F12" s="1" t="s">
        <v>9</v>
      </c>
      <c r="G12" s="1" t="s">
        <v>11</v>
      </c>
      <c r="AN12" s="1">
        <v>1</v>
      </c>
      <c r="AP12" s="1">
        <v>1</v>
      </c>
      <c r="AR12" s="1">
        <v>0</v>
      </c>
    </row>
    <row r="13" spans="1:51" ht="30" customHeight="1" x14ac:dyDescent="0.3">
      <c r="A13" s="1" t="s">
        <v>0</v>
      </c>
      <c r="B13" s="2">
        <v>4</v>
      </c>
      <c r="C13" s="2">
        <v>5</v>
      </c>
      <c r="D13" s="2">
        <v>6</v>
      </c>
      <c r="E13" s="2">
        <v>6</v>
      </c>
      <c r="F13" s="2">
        <v>4</v>
      </c>
      <c r="G13" s="1">
        <v>250</v>
      </c>
      <c r="AN13" s="1">
        <v>2</v>
      </c>
      <c r="AP13" s="1">
        <v>0</v>
      </c>
      <c r="AR13" s="1">
        <v>2</v>
      </c>
    </row>
    <row r="14" spans="1:51" ht="30" customHeight="1" x14ac:dyDescent="0.3">
      <c r="A14" s="1" t="s">
        <v>1</v>
      </c>
      <c r="B14" s="2">
        <v>3</v>
      </c>
      <c r="C14" s="2">
        <v>3</v>
      </c>
      <c r="D14" s="2">
        <v>6</v>
      </c>
      <c r="E14" s="2">
        <v>5</v>
      </c>
      <c r="F14" s="2">
        <v>7</v>
      </c>
      <c r="G14" s="1">
        <v>300</v>
      </c>
      <c r="AP14" s="1">
        <v>0</v>
      </c>
      <c r="AR14" s="1">
        <v>2</v>
      </c>
    </row>
    <row r="15" spans="1:51" ht="30" customHeight="1" x14ac:dyDescent="0.3">
      <c r="A15" s="1" t="s">
        <v>2</v>
      </c>
      <c r="B15" s="2">
        <v>5</v>
      </c>
      <c r="C15" s="2">
        <v>6</v>
      </c>
      <c r="D15" s="2">
        <v>7</v>
      </c>
      <c r="E15" s="2">
        <v>7</v>
      </c>
      <c r="F15" s="2">
        <v>4</v>
      </c>
      <c r="G15" s="1">
        <v>350</v>
      </c>
    </row>
    <row r="16" spans="1:51" ht="30" customHeight="1" x14ac:dyDescent="0.3">
      <c r="A16" s="1" t="s">
        <v>3</v>
      </c>
      <c r="B16" s="2">
        <v>7</v>
      </c>
      <c r="C16" s="2">
        <v>6</v>
      </c>
      <c r="D16" s="2">
        <v>4</v>
      </c>
      <c r="E16" s="2">
        <v>4</v>
      </c>
      <c r="F16" s="2">
        <v>7</v>
      </c>
      <c r="G16" s="1">
        <v>300</v>
      </c>
    </row>
    <row r="17" spans="1:7" ht="30" customHeight="1" x14ac:dyDescent="0.3">
      <c r="A17" s="1" t="s">
        <v>4</v>
      </c>
      <c r="B17" s="2">
        <v>6</v>
      </c>
      <c r="C17" s="2">
        <v>5</v>
      </c>
      <c r="D17" s="2">
        <v>6</v>
      </c>
      <c r="E17" s="2">
        <v>7</v>
      </c>
      <c r="F17" s="2">
        <v>6</v>
      </c>
      <c r="G17" s="1">
        <v>250</v>
      </c>
    </row>
    <row r="18" spans="1:7" ht="30" customHeight="1" x14ac:dyDescent="0.3">
      <c r="A18" s="1" t="s">
        <v>10</v>
      </c>
      <c r="B18" s="1">
        <v>300</v>
      </c>
      <c r="C18" s="1">
        <v>324</v>
      </c>
      <c r="D18" s="1">
        <v>336</v>
      </c>
      <c r="E18" s="1">
        <v>348</v>
      </c>
      <c r="F18" s="1">
        <v>432</v>
      </c>
      <c r="G18" s="11">
        <f>SUM(G13:G17)-SUM(B18:F18)</f>
        <v>-290</v>
      </c>
    </row>
  </sheetData>
  <mergeCells count="5">
    <mergeCell ref="A1:G1"/>
    <mergeCell ref="J1:P1"/>
    <mergeCell ref="T1:Z1"/>
    <mergeCell ref="AD1:AJ1"/>
    <mergeCell ref="A11:G11"/>
  </mergeCells>
  <conditionalFormatting sqref="B3:F7">
    <cfRule type="colorScale" priority="13">
      <colorScale>
        <cfvo type="min"/>
        <cfvo type="max"/>
        <color theme="4" tint="0.79998168889431442"/>
        <color theme="5" tint="0.79998168889431442"/>
      </colorScale>
    </cfRule>
  </conditionalFormatting>
  <conditionalFormatting sqref="K3:O7">
    <cfRule type="colorScale" priority="12">
      <colorScale>
        <cfvo type="min"/>
        <cfvo type="max"/>
        <color theme="4" tint="0.79998168889431442"/>
        <color theme="5" tint="0.79998168889431442"/>
      </colorScale>
    </cfRule>
  </conditionalFormatting>
  <conditionalFormatting sqref="K8:O8">
    <cfRule type="expression" dxfId="41" priority="11">
      <formula>K8=B8</formula>
    </cfRule>
  </conditionalFormatting>
  <conditionalFormatting sqref="P3:P7">
    <cfRule type="expression" dxfId="40" priority="10">
      <formula>P3=G3</formula>
    </cfRule>
  </conditionalFormatting>
  <conditionalFormatting sqref="U8:Y8">
    <cfRule type="expression" dxfId="39" priority="9">
      <formula>U8=B8</formula>
    </cfRule>
  </conditionalFormatting>
  <conditionalFormatting sqref="Z3:Z7">
    <cfRule type="expression" dxfId="38" priority="8">
      <formula>Z3=G3</formula>
    </cfRule>
  </conditionalFormatting>
  <conditionalFormatting sqref="U3:Y7">
    <cfRule type="colorScale" priority="7">
      <colorScale>
        <cfvo type="min"/>
        <cfvo type="max"/>
        <color theme="4" tint="0.79998168889431442"/>
        <color theme="5" tint="0.79998168889431442"/>
      </colorScale>
    </cfRule>
  </conditionalFormatting>
  <conditionalFormatting sqref="AE8:AI8">
    <cfRule type="expression" dxfId="37" priority="6">
      <formula>AE8=B8</formula>
    </cfRule>
  </conditionalFormatting>
  <conditionalFormatting sqref="AJ3:AJ7">
    <cfRule type="expression" dxfId="36" priority="5">
      <formula>AJ3=G3</formula>
    </cfRule>
  </conditionalFormatting>
  <conditionalFormatting sqref="AE3:AI7">
    <cfRule type="colorScale" priority="4">
      <colorScale>
        <cfvo type="min"/>
        <cfvo type="max"/>
        <color theme="4" tint="0.79998168889431442"/>
        <color theme="5" tint="0.79998168889431442"/>
      </colorScale>
    </cfRule>
  </conditionalFormatting>
  <conditionalFormatting sqref="B13:F17">
    <cfRule type="colorScale" priority="2">
      <colorScale>
        <cfvo type="min"/>
        <cfvo type="max"/>
        <color theme="4" tint="0.79998168889431442"/>
        <color theme="5" tint="0.79998168889431442"/>
      </colorScale>
    </cfRule>
  </conditionalFormatting>
  <conditionalFormatting sqref="AN3:AR7">
    <cfRule type="colorScale" priority="1">
      <colorScale>
        <cfvo type="min"/>
        <cfvo type="max"/>
        <color theme="4" tint="0.79998168889431442"/>
        <color theme="5" tint="0.79998168889431442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9D783-11B8-497F-818C-EFE23DA44793}">
  <dimension ref="A1:Y17"/>
  <sheetViews>
    <sheetView topLeftCell="A7" zoomScale="120" zoomScaleNormal="120" workbookViewId="0">
      <selection activeCell="S6" sqref="S6"/>
    </sheetView>
  </sheetViews>
  <sheetFormatPr defaultColWidth="5.5546875" defaultRowHeight="30" customHeight="1" x14ac:dyDescent="0.3"/>
  <cols>
    <col min="1" max="8" width="5.5546875" style="1"/>
    <col min="9" max="9" width="5.5546875" style="1" customWidth="1"/>
    <col min="10" max="16384" width="5.5546875" style="1"/>
  </cols>
  <sheetData>
    <row r="1" spans="1:25" ht="30" customHeight="1" x14ac:dyDescent="0.3">
      <c r="A1" s="8" t="s">
        <v>26</v>
      </c>
      <c r="B1" s="8"/>
      <c r="C1" s="8"/>
      <c r="D1" s="8"/>
      <c r="E1" s="8"/>
      <c r="F1" s="8"/>
      <c r="G1" s="8"/>
      <c r="J1" s="8" t="s">
        <v>17</v>
      </c>
      <c r="K1" s="8"/>
      <c r="L1" s="8"/>
      <c r="M1" s="8"/>
      <c r="N1" s="8"/>
      <c r="O1" s="8"/>
      <c r="P1" s="8"/>
      <c r="Q1" s="1" cm="1">
        <f t="array" ref="Q1">SUM($B$3:$F$7*K3:O7)</f>
        <v>6036</v>
      </c>
      <c r="R1" s="1">
        <f>COUNT(K3:O7)</f>
        <v>9</v>
      </c>
    </row>
    <row r="2" spans="1:25" ht="30" customHeight="1" x14ac:dyDescent="0.3"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11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11</v>
      </c>
    </row>
    <row r="3" spans="1:25" ht="30" customHeight="1" x14ac:dyDescent="0.3">
      <c r="A3" s="1" t="s">
        <v>0</v>
      </c>
      <c r="B3" s="2">
        <v>4</v>
      </c>
      <c r="C3" s="2">
        <v>5</v>
      </c>
      <c r="D3" s="2">
        <v>6</v>
      </c>
      <c r="E3" s="2">
        <v>6</v>
      </c>
      <c r="F3" s="2">
        <v>4</v>
      </c>
      <c r="G3" s="1">
        <v>250</v>
      </c>
      <c r="J3" s="1" t="s">
        <v>0</v>
      </c>
      <c r="K3" s="2">
        <v>208</v>
      </c>
      <c r="L3" s="2"/>
      <c r="M3" s="2">
        <v>18</v>
      </c>
      <c r="N3" s="2"/>
      <c r="O3" s="2">
        <v>24</v>
      </c>
      <c r="P3" s="1">
        <f>SUM(K3:O3)</f>
        <v>250</v>
      </c>
    </row>
    <row r="4" spans="1:25" ht="30" customHeight="1" x14ac:dyDescent="0.3">
      <c r="A4" s="1" t="s">
        <v>1</v>
      </c>
      <c r="B4" s="2">
        <v>3</v>
      </c>
      <c r="C4" s="2">
        <v>3</v>
      </c>
      <c r="D4" s="2">
        <v>6</v>
      </c>
      <c r="E4" s="2">
        <v>5</v>
      </c>
      <c r="F4" s="2">
        <v>7</v>
      </c>
      <c r="G4" s="1">
        <v>300</v>
      </c>
      <c r="J4" s="1" t="s">
        <v>1</v>
      </c>
      <c r="K4" s="2">
        <v>34</v>
      </c>
      <c r="L4" s="2">
        <v>266</v>
      </c>
      <c r="M4" s="2"/>
      <c r="N4" s="2"/>
      <c r="O4" s="2"/>
      <c r="P4" s="1">
        <f t="shared" ref="P4:P7" si="0">SUM(K4:O4)</f>
        <v>300</v>
      </c>
    </row>
    <row r="5" spans="1:25" ht="30" customHeight="1" x14ac:dyDescent="0.3">
      <c r="A5" s="1" t="s">
        <v>2</v>
      </c>
      <c r="B5" s="2">
        <v>5</v>
      </c>
      <c r="C5" s="2">
        <v>6</v>
      </c>
      <c r="D5" s="2">
        <v>7</v>
      </c>
      <c r="E5" s="2">
        <v>7</v>
      </c>
      <c r="F5" s="2">
        <v>4</v>
      </c>
      <c r="G5" s="1">
        <v>350</v>
      </c>
      <c r="J5" s="1" t="s">
        <v>2</v>
      </c>
      <c r="K5" s="2"/>
      <c r="L5" s="2"/>
      <c r="M5" s="2"/>
      <c r="N5" s="2"/>
      <c r="O5" s="2">
        <v>350</v>
      </c>
      <c r="P5" s="1">
        <f t="shared" si="0"/>
        <v>350</v>
      </c>
    </row>
    <row r="6" spans="1:25" ht="30" customHeight="1" x14ac:dyDescent="0.3">
      <c r="A6" s="1" t="s">
        <v>3</v>
      </c>
      <c r="B6" s="2">
        <v>7</v>
      </c>
      <c r="C6" s="2">
        <v>6</v>
      </c>
      <c r="D6" s="2">
        <v>4</v>
      </c>
      <c r="E6" s="2">
        <v>4</v>
      </c>
      <c r="F6" s="2">
        <v>7</v>
      </c>
      <c r="G6" s="1">
        <v>300</v>
      </c>
      <c r="J6" s="1" t="s">
        <v>3</v>
      </c>
      <c r="K6" s="2"/>
      <c r="L6" s="2"/>
      <c r="M6" s="2">
        <v>10</v>
      </c>
      <c r="N6" s="2">
        <v>290</v>
      </c>
      <c r="O6" s="2"/>
      <c r="P6" s="1">
        <f t="shared" si="0"/>
        <v>300</v>
      </c>
    </row>
    <row r="7" spans="1:25" ht="30" customHeight="1" x14ac:dyDescent="0.3">
      <c r="A7" s="1" t="s">
        <v>4</v>
      </c>
      <c r="B7" s="2">
        <v>6</v>
      </c>
      <c r="C7" s="2">
        <v>5</v>
      </c>
      <c r="D7" s="2">
        <v>6</v>
      </c>
      <c r="E7" s="2">
        <v>7</v>
      </c>
      <c r="F7" s="2">
        <v>6</v>
      </c>
      <c r="G7" s="1">
        <v>250</v>
      </c>
      <c r="J7" s="1" t="s">
        <v>4</v>
      </c>
      <c r="K7" s="2"/>
      <c r="L7" s="2"/>
      <c r="M7" s="2">
        <v>250</v>
      </c>
      <c r="N7" s="2"/>
      <c r="O7" s="2"/>
      <c r="P7" s="1">
        <f t="shared" si="0"/>
        <v>250</v>
      </c>
    </row>
    <row r="8" spans="1:25" ht="30" customHeight="1" x14ac:dyDescent="0.3">
      <c r="A8" s="1" t="s">
        <v>10</v>
      </c>
      <c r="B8" s="1">
        <v>242</v>
      </c>
      <c r="C8" s="1">
        <v>266</v>
      </c>
      <c r="D8" s="1">
        <v>278</v>
      </c>
      <c r="E8" s="1">
        <v>290</v>
      </c>
      <c r="F8" s="1">
        <v>374</v>
      </c>
      <c r="G8" s="11">
        <f>SUM(G3:G7)-SUM(B8:F8)</f>
        <v>0</v>
      </c>
      <c r="J8" s="1" t="s">
        <v>10</v>
      </c>
      <c r="K8" s="1">
        <f>SUM(K3:K7)</f>
        <v>242</v>
      </c>
      <c r="L8" s="1">
        <f t="shared" ref="L8:O8" si="1">SUM(L3:L7)</f>
        <v>266</v>
      </c>
      <c r="M8" s="1">
        <f t="shared" si="1"/>
        <v>278</v>
      </c>
      <c r="N8" s="1">
        <f t="shared" si="1"/>
        <v>290</v>
      </c>
      <c r="O8" s="1">
        <f t="shared" si="1"/>
        <v>374</v>
      </c>
    </row>
    <row r="10" spans="1:25" ht="30" customHeight="1" x14ac:dyDescent="0.3">
      <c r="A10" s="8" t="s">
        <v>18</v>
      </c>
      <c r="B10" s="8"/>
      <c r="C10" s="8"/>
      <c r="D10" s="8"/>
      <c r="E10" s="8"/>
      <c r="F10" s="8"/>
      <c r="G10" s="8"/>
      <c r="J10" s="8" t="s">
        <v>21</v>
      </c>
      <c r="K10" s="8"/>
      <c r="L10" s="8"/>
      <c r="M10" s="8"/>
      <c r="N10" s="8"/>
      <c r="O10" s="8"/>
      <c r="P10" s="8"/>
      <c r="S10" s="8" t="s">
        <v>22</v>
      </c>
      <c r="T10" s="8"/>
      <c r="U10" s="8"/>
      <c r="V10" s="8"/>
      <c r="W10" s="8"/>
      <c r="X10" s="8"/>
      <c r="Y10" s="8"/>
    </row>
    <row r="11" spans="1:25" ht="30" customHeight="1" x14ac:dyDescent="0.3">
      <c r="B11" s="1" t="s">
        <v>5</v>
      </c>
      <c r="C11" s="1" t="s">
        <v>6</v>
      </c>
      <c r="D11" s="1" t="s">
        <v>7</v>
      </c>
      <c r="E11" s="1" t="s">
        <v>8</v>
      </c>
      <c r="F11" s="1" t="s">
        <v>9</v>
      </c>
      <c r="G11" s="1" t="s">
        <v>19</v>
      </c>
      <c r="K11" s="1" t="s">
        <v>5</v>
      </c>
      <c r="L11" s="1" t="s">
        <v>6</v>
      </c>
      <c r="M11" s="1" t="s">
        <v>7</v>
      </c>
      <c r="N11" s="1" t="s">
        <v>8</v>
      </c>
      <c r="O11" s="1" t="s">
        <v>9</v>
      </c>
      <c r="P11" s="1" t="s">
        <v>19</v>
      </c>
      <c r="T11" s="1" t="s">
        <v>5</v>
      </c>
      <c r="U11" s="1" t="s">
        <v>6</v>
      </c>
      <c r="V11" s="1" t="s">
        <v>7</v>
      </c>
      <c r="W11" s="1" t="s">
        <v>8</v>
      </c>
      <c r="X11" s="1" t="s">
        <v>9</v>
      </c>
      <c r="Y11" s="1" t="s">
        <v>19</v>
      </c>
    </row>
    <row r="12" spans="1:25" ht="30" customHeight="1" x14ac:dyDescent="0.3">
      <c r="A12" s="1" t="s">
        <v>0</v>
      </c>
      <c r="B12" s="2">
        <v>4</v>
      </c>
      <c r="C12" s="2"/>
      <c r="D12" s="2">
        <v>6</v>
      </c>
      <c r="E12" s="2"/>
      <c r="F12" s="2">
        <v>4</v>
      </c>
      <c r="G12" s="1">
        <v>0</v>
      </c>
      <c r="J12" s="1" t="s">
        <v>0</v>
      </c>
      <c r="K12" s="10">
        <f>$P12+K$17</f>
        <v>4</v>
      </c>
      <c r="L12" s="10">
        <f t="shared" ref="L12:O12" si="2">$P12+L$17</f>
        <v>4</v>
      </c>
      <c r="M12" s="10">
        <f t="shared" si="2"/>
        <v>6</v>
      </c>
      <c r="N12" s="10">
        <f t="shared" si="2"/>
        <v>6</v>
      </c>
      <c r="O12" s="10">
        <f t="shared" si="2"/>
        <v>4</v>
      </c>
      <c r="P12" s="1" cm="1">
        <f t="array" ref="P12:P16">G12:G16</f>
        <v>0</v>
      </c>
      <c r="S12" s="1" t="s">
        <v>0</v>
      </c>
      <c r="T12" s="3">
        <f>K12-B3</f>
        <v>0</v>
      </c>
      <c r="U12" s="10">
        <f t="shared" ref="U12:X16" si="3">L12-C3</f>
        <v>-1</v>
      </c>
      <c r="V12" s="3">
        <f t="shared" si="3"/>
        <v>0</v>
      </c>
      <c r="W12" s="10">
        <f t="shared" si="3"/>
        <v>0</v>
      </c>
      <c r="X12" s="3">
        <f t="shared" si="3"/>
        <v>0</v>
      </c>
      <c r="Y12" s="1" cm="1">
        <f t="array" ref="Y12:Y16">G12:G16</f>
        <v>0</v>
      </c>
    </row>
    <row r="13" spans="1:25" ht="30" customHeight="1" x14ac:dyDescent="0.3">
      <c r="A13" s="1" t="s">
        <v>1</v>
      </c>
      <c r="B13" s="2">
        <v>3</v>
      </c>
      <c r="C13" s="2">
        <v>3</v>
      </c>
      <c r="D13" s="2"/>
      <c r="E13" s="2"/>
      <c r="F13" s="2"/>
      <c r="G13" s="1">
        <v>-1</v>
      </c>
      <c r="J13" s="1" t="s">
        <v>1</v>
      </c>
      <c r="K13" s="10">
        <f t="shared" ref="K13:O16" si="4">$P13+K$17</f>
        <v>3</v>
      </c>
      <c r="L13" s="10">
        <f t="shared" si="4"/>
        <v>3</v>
      </c>
      <c r="M13" s="10">
        <f t="shared" si="4"/>
        <v>5</v>
      </c>
      <c r="N13" s="10">
        <f t="shared" si="4"/>
        <v>5</v>
      </c>
      <c r="O13" s="10">
        <f t="shared" si="4"/>
        <v>3</v>
      </c>
      <c r="P13" s="1">
        <v>-1</v>
      </c>
      <c r="S13" s="1" t="s">
        <v>1</v>
      </c>
      <c r="T13" s="3">
        <f t="shared" ref="T13:T16" si="5">K13-B4</f>
        <v>0</v>
      </c>
      <c r="U13" s="3">
        <f t="shared" si="3"/>
        <v>0</v>
      </c>
      <c r="V13" s="10">
        <f t="shared" si="3"/>
        <v>-1</v>
      </c>
      <c r="W13" s="10">
        <f t="shared" si="3"/>
        <v>0</v>
      </c>
      <c r="X13" s="10">
        <f t="shared" si="3"/>
        <v>-4</v>
      </c>
      <c r="Y13" s="1">
        <v>-1</v>
      </c>
    </row>
    <row r="14" spans="1:25" ht="30" customHeight="1" x14ac:dyDescent="0.3">
      <c r="A14" s="1" t="s">
        <v>2</v>
      </c>
      <c r="B14" s="2"/>
      <c r="C14" s="2"/>
      <c r="D14" s="2"/>
      <c r="E14" s="2"/>
      <c r="F14" s="2">
        <v>4</v>
      </c>
      <c r="G14" s="1">
        <v>0</v>
      </c>
      <c r="J14" s="1" t="s">
        <v>2</v>
      </c>
      <c r="K14" s="10">
        <f t="shared" si="4"/>
        <v>4</v>
      </c>
      <c r="L14" s="10">
        <f t="shared" si="4"/>
        <v>4</v>
      </c>
      <c r="M14" s="10">
        <f t="shared" si="4"/>
        <v>6</v>
      </c>
      <c r="N14" s="10">
        <f t="shared" si="4"/>
        <v>6</v>
      </c>
      <c r="O14" s="10">
        <f t="shared" si="4"/>
        <v>4</v>
      </c>
      <c r="P14" s="1">
        <v>0</v>
      </c>
      <c r="S14" s="1" t="s">
        <v>2</v>
      </c>
      <c r="T14" s="10">
        <f t="shared" si="5"/>
        <v>-1</v>
      </c>
      <c r="U14" s="10">
        <f t="shared" si="3"/>
        <v>-2</v>
      </c>
      <c r="V14" s="10">
        <f t="shared" si="3"/>
        <v>-1</v>
      </c>
      <c r="W14" s="10">
        <f t="shared" si="3"/>
        <v>-1</v>
      </c>
      <c r="X14" s="3">
        <f t="shared" si="3"/>
        <v>0</v>
      </c>
      <c r="Y14" s="1">
        <v>0</v>
      </c>
    </row>
    <row r="15" spans="1:25" ht="30" customHeight="1" x14ac:dyDescent="0.3">
      <c r="A15" s="1" t="s">
        <v>3</v>
      </c>
      <c r="B15" s="2"/>
      <c r="C15" s="2"/>
      <c r="D15" s="2">
        <v>4</v>
      </c>
      <c r="E15" s="2">
        <v>4</v>
      </c>
      <c r="F15" s="2"/>
      <c r="G15" s="1">
        <v>-2</v>
      </c>
      <c r="J15" s="1" t="s">
        <v>3</v>
      </c>
      <c r="K15" s="10">
        <f t="shared" si="4"/>
        <v>2</v>
      </c>
      <c r="L15" s="10">
        <f t="shared" si="4"/>
        <v>2</v>
      </c>
      <c r="M15" s="10">
        <f t="shared" si="4"/>
        <v>4</v>
      </c>
      <c r="N15" s="10">
        <f t="shared" si="4"/>
        <v>4</v>
      </c>
      <c r="O15" s="10">
        <f t="shared" si="4"/>
        <v>2</v>
      </c>
      <c r="P15" s="1">
        <v>-2</v>
      </c>
      <c r="S15" s="1" t="s">
        <v>3</v>
      </c>
      <c r="T15" s="10">
        <f t="shared" si="5"/>
        <v>-5</v>
      </c>
      <c r="U15" s="10">
        <f t="shared" si="3"/>
        <v>-4</v>
      </c>
      <c r="V15" s="3">
        <f t="shared" si="3"/>
        <v>0</v>
      </c>
      <c r="W15" s="3">
        <f t="shared" si="3"/>
        <v>0</v>
      </c>
      <c r="X15" s="10">
        <f t="shared" si="3"/>
        <v>-5</v>
      </c>
      <c r="Y15" s="1">
        <v>-2</v>
      </c>
    </row>
    <row r="16" spans="1:25" ht="30" customHeight="1" x14ac:dyDescent="0.3">
      <c r="A16" s="1" t="s">
        <v>4</v>
      </c>
      <c r="B16" s="2"/>
      <c r="C16" s="2"/>
      <c r="D16" s="2">
        <v>6</v>
      </c>
      <c r="E16" s="2"/>
      <c r="F16" s="2"/>
      <c r="G16" s="1">
        <v>0</v>
      </c>
      <c r="J16" s="1" t="s">
        <v>4</v>
      </c>
      <c r="K16" s="10">
        <f t="shared" si="4"/>
        <v>4</v>
      </c>
      <c r="L16" s="10">
        <f t="shared" si="4"/>
        <v>4</v>
      </c>
      <c r="M16" s="10">
        <f t="shared" si="4"/>
        <v>6</v>
      </c>
      <c r="N16" s="10">
        <f t="shared" si="4"/>
        <v>6</v>
      </c>
      <c r="O16" s="10">
        <f t="shared" si="4"/>
        <v>4</v>
      </c>
      <c r="P16" s="1">
        <v>0</v>
      </c>
      <c r="S16" s="1" t="s">
        <v>4</v>
      </c>
      <c r="T16" s="10">
        <f t="shared" si="5"/>
        <v>-2</v>
      </c>
      <c r="U16" s="10">
        <f t="shared" si="3"/>
        <v>-1</v>
      </c>
      <c r="V16" s="3">
        <f t="shared" si="3"/>
        <v>0</v>
      </c>
      <c r="W16" s="10">
        <f t="shared" si="3"/>
        <v>-1</v>
      </c>
      <c r="X16" s="10">
        <f t="shared" si="3"/>
        <v>-2</v>
      </c>
      <c r="Y16" s="1">
        <v>0</v>
      </c>
    </row>
    <row r="17" spans="1:24" ht="30" customHeight="1" x14ac:dyDescent="0.3">
      <c r="A17" s="1" t="s">
        <v>20</v>
      </c>
      <c r="B17" s="1">
        <v>4</v>
      </c>
      <c r="C17" s="1">
        <v>4</v>
      </c>
      <c r="D17" s="1">
        <v>6</v>
      </c>
      <c r="E17" s="1">
        <v>6</v>
      </c>
      <c r="F17" s="1">
        <v>4</v>
      </c>
      <c r="J17" s="1" t="s">
        <v>20</v>
      </c>
      <c r="K17" s="1" cm="1">
        <f t="array" ref="K17:O17">B17:F17</f>
        <v>4</v>
      </c>
      <c r="L17" s="1">
        <v>4</v>
      </c>
      <c r="M17" s="1">
        <v>6</v>
      </c>
      <c r="N17" s="1">
        <v>6</v>
      </c>
      <c r="O17" s="1">
        <v>4</v>
      </c>
      <c r="S17" s="1" t="s">
        <v>20</v>
      </c>
      <c r="T17" s="1" cm="1">
        <f t="array" ref="T17:X17">B17:F17</f>
        <v>4</v>
      </c>
      <c r="U17" s="1">
        <v>4</v>
      </c>
      <c r="V17" s="1">
        <v>6</v>
      </c>
      <c r="W17" s="1">
        <v>6</v>
      </c>
      <c r="X17" s="1">
        <v>4</v>
      </c>
    </row>
  </sheetData>
  <mergeCells count="5">
    <mergeCell ref="A1:G1"/>
    <mergeCell ref="J1:P1"/>
    <mergeCell ref="A10:G10"/>
    <mergeCell ref="J10:P10"/>
    <mergeCell ref="S10:Y10"/>
  </mergeCells>
  <conditionalFormatting sqref="K12:O16">
    <cfRule type="colorScale" priority="9">
      <colorScale>
        <cfvo type="min"/>
        <cfvo type="max"/>
        <color theme="4" tint="0.79998168889431442"/>
        <color theme="5" tint="0.79998168889431442"/>
      </colorScale>
    </cfRule>
  </conditionalFormatting>
  <conditionalFormatting sqref="T12:X16">
    <cfRule type="colorScale" priority="8">
      <colorScale>
        <cfvo type="min"/>
        <cfvo type="max"/>
        <color theme="4" tint="0.79998168889431442"/>
        <color theme="5" tint="0.79998168889431442"/>
      </colorScale>
    </cfRule>
  </conditionalFormatting>
  <conditionalFormatting sqref="K8:O8">
    <cfRule type="expression" dxfId="19" priority="7">
      <formula>K8=XEL8</formula>
    </cfRule>
  </conditionalFormatting>
  <conditionalFormatting sqref="P3:P7">
    <cfRule type="expression" dxfId="18" priority="6">
      <formula>P3=XEQ3</formula>
    </cfRule>
  </conditionalFormatting>
  <conditionalFormatting sqref="B3:F7">
    <cfRule type="colorScale" priority="4">
      <colorScale>
        <cfvo type="min"/>
        <cfvo type="max"/>
        <color theme="4" tint="0.79998168889431442"/>
        <color theme="5" tint="0.79998168889431442"/>
      </colorScale>
    </cfRule>
  </conditionalFormatting>
  <conditionalFormatting sqref="B12:F16">
    <cfRule type="colorScale" priority="3">
      <colorScale>
        <cfvo type="min"/>
        <cfvo type="max"/>
        <color theme="4" tint="0.79998168889431442"/>
        <color theme="5" tint="0.79998168889431442"/>
      </colorScale>
    </cfRule>
  </conditionalFormatting>
  <conditionalFormatting sqref="K3:O7">
    <cfRule type="colorScale" priority="1">
      <colorScale>
        <cfvo type="min"/>
        <cfvo type="max"/>
        <color theme="4" tint="0.79998168889431442"/>
        <color theme="5" tint="0.79998168889431442"/>
      </colorScale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0238-A0DF-41F6-9B6B-FFC40BE5EEA9}">
  <dimension ref="A1:AU97"/>
  <sheetViews>
    <sheetView tabSelected="1" topLeftCell="A94" zoomScale="120" zoomScaleNormal="120" workbookViewId="0">
      <selection activeCell="AM91" sqref="AM91"/>
    </sheetView>
  </sheetViews>
  <sheetFormatPr defaultColWidth="5.5546875" defaultRowHeight="30" customHeight="1" x14ac:dyDescent="0.3"/>
  <cols>
    <col min="1" max="8" width="5.5546875" style="1"/>
    <col min="9" max="9" width="5.5546875" style="1" customWidth="1"/>
    <col min="10" max="16384" width="5.5546875" style="1"/>
  </cols>
  <sheetData>
    <row r="1" spans="1:47" ht="30" customHeight="1" x14ac:dyDescent="0.3">
      <c r="A1" s="8" t="s">
        <v>26</v>
      </c>
      <c r="B1" s="8"/>
      <c r="C1" s="8"/>
      <c r="D1" s="8"/>
      <c r="E1" s="8"/>
      <c r="F1" s="8"/>
      <c r="G1" s="8"/>
      <c r="J1" s="8" t="s">
        <v>17</v>
      </c>
      <c r="K1" s="8"/>
      <c r="L1" s="8"/>
      <c r="M1" s="8"/>
      <c r="N1" s="8"/>
      <c r="O1" s="8"/>
      <c r="P1" s="8"/>
      <c r="Q1" s="1" cm="1">
        <f t="array" ref="Q1">SUM($B$3:$F$7*K3:O7)</f>
        <v>7556</v>
      </c>
      <c r="R1" s="1">
        <f>COUNT(K3:O7)</f>
        <v>9</v>
      </c>
    </row>
    <row r="2" spans="1:47" ht="30" customHeight="1" x14ac:dyDescent="0.3"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11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11</v>
      </c>
    </row>
    <row r="3" spans="1:47" ht="30" customHeight="1" x14ac:dyDescent="0.3">
      <c r="A3" s="1" t="s">
        <v>0</v>
      </c>
      <c r="B3" s="2">
        <v>4</v>
      </c>
      <c r="C3" s="2">
        <v>5</v>
      </c>
      <c r="D3" s="2">
        <v>6</v>
      </c>
      <c r="E3" s="2">
        <v>6</v>
      </c>
      <c r="F3" s="2">
        <v>4</v>
      </c>
      <c r="G3" s="1">
        <v>250</v>
      </c>
      <c r="J3" s="1" t="s">
        <v>0</v>
      </c>
      <c r="K3" s="2">
        <v>242</v>
      </c>
      <c r="L3" s="2">
        <v>8</v>
      </c>
      <c r="M3" s="2"/>
      <c r="N3" s="2"/>
      <c r="O3" s="2"/>
      <c r="P3" s="1">
        <f>SUM(K3:O3)</f>
        <v>250</v>
      </c>
    </row>
    <row r="4" spans="1:47" ht="30" customHeight="1" x14ac:dyDescent="0.3">
      <c r="A4" s="1" t="s">
        <v>1</v>
      </c>
      <c r="B4" s="2">
        <v>3</v>
      </c>
      <c r="C4" s="2">
        <v>3</v>
      </c>
      <c r="D4" s="2">
        <v>6</v>
      </c>
      <c r="E4" s="2">
        <v>5</v>
      </c>
      <c r="F4" s="2">
        <v>7</v>
      </c>
      <c r="G4" s="1">
        <v>300</v>
      </c>
      <c r="J4" s="1" t="s">
        <v>1</v>
      </c>
      <c r="K4" s="2"/>
      <c r="L4" s="2">
        <v>258</v>
      </c>
      <c r="M4" s="2">
        <v>42</v>
      </c>
      <c r="N4" s="2"/>
      <c r="O4" s="2"/>
      <c r="P4" s="1">
        <f t="shared" ref="P4:P7" si="0">SUM(K4:O4)</f>
        <v>300</v>
      </c>
    </row>
    <row r="5" spans="1:47" ht="30" customHeight="1" x14ac:dyDescent="0.3">
      <c r="A5" s="1" t="s">
        <v>2</v>
      </c>
      <c r="B5" s="2">
        <v>5</v>
      </c>
      <c r="C5" s="2">
        <v>6</v>
      </c>
      <c r="D5" s="2">
        <v>7</v>
      </c>
      <c r="E5" s="2">
        <v>7</v>
      </c>
      <c r="F5" s="2">
        <v>4</v>
      </c>
      <c r="G5" s="1">
        <v>350</v>
      </c>
      <c r="J5" s="1" t="s">
        <v>2</v>
      </c>
      <c r="K5" s="2"/>
      <c r="L5" s="2"/>
      <c r="M5" s="2">
        <v>236</v>
      </c>
      <c r="N5" s="2">
        <v>114</v>
      </c>
      <c r="O5" s="2"/>
      <c r="P5" s="1">
        <f t="shared" si="0"/>
        <v>350</v>
      </c>
    </row>
    <row r="6" spans="1:47" ht="30" customHeight="1" x14ac:dyDescent="0.3">
      <c r="A6" s="1" t="s">
        <v>3</v>
      </c>
      <c r="B6" s="2">
        <v>7</v>
      </c>
      <c r="C6" s="2">
        <v>6</v>
      </c>
      <c r="D6" s="2">
        <v>4</v>
      </c>
      <c r="E6" s="2">
        <v>4</v>
      </c>
      <c r="F6" s="2">
        <v>7</v>
      </c>
      <c r="G6" s="1">
        <v>300</v>
      </c>
      <c r="J6" s="1" t="s">
        <v>3</v>
      </c>
      <c r="K6" s="2"/>
      <c r="L6" s="2"/>
      <c r="M6" s="2"/>
      <c r="N6" s="2">
        <v>176</v>
      </c>
      <c r="O6" s="2">
        <v>124</v>
      </c>
      <c r="P6" s="1">
        <f t="shared" si="0"/>
        <v>300</v>
      </c>
    </row>
    <row r="7" spans="1:47" ht="30" customHeight="1" x14ac:dyDescent="0.3">
      <c r="A7" s="1" t="s">
        <v>4</v>
      </c>
      <c r="B7" s="2">
        <v>6</v>
      </c>
      <c r="C7" s="2">
        <v>5</v>
      </c>
      <c r="D7" s="2">
        <v>6</v>
      </c>
      <c r="E7" s="2">
        <v>7</v>
      </c>
      <c r="F7" s="2">
        <v>6</v>
      </c>
      <c r="G7" s="1">
        <v>250</v>
      </c>
      <c r="J7" s="1" t="s">
        <v>4</v>
      </c>
      <c r="K7" s="2"/>
      <c r="L7" s="2"/>
      <c r="M7" s="2"/>
      <c r="N7" s="2"/>
      <c r="O7" s="2">
        <v>250</v>
      </c>
      <c r="P7" s="1">
        <f t="shared" si="0"/>
        <v>250</v>
      </c>
    </row>
    <row r="8" spans="1:47" ht="30" customHeight="1" x14ac:dyDescent="0.3">
      <c r="A8" s="1" t="s">
        <v>10</v>
      </c>
      <c r="B8" s="1">
        <v>242</v>
      </c>
      <c r="C8" s="1">
        <v>266</v>
      </c>
      <c r="D8" s="1">
        <v>278</v>
      </c>
      <c r="E8" s="1">
        <v>290</v>
      </c>
      <c r="F8" s="1">
        <v>374</v>
      </c>
      <c r="G8" s="11">
        <f>SUM(G3:G7)-SUM(B8:F8)</f>
        <v>0</v>
      </c>
      <c r="J8" s="1" t="s">
        <v>10</v>
      </c>
      <c r="K8" s="1">
        <f>SUM(K3:K7)</f>
        <v>242</v>
      </c>
      <c r="L8" s="1">
        <f t="shared" ref="L8:O8" si="1">SUM(L3:L7)</f>
        <v>266</v>
      </c>
      <c r="M8" s="1">
        <f t="shared" si="1"/>
        <v>278</v>
      </c>
      <c r="N8" s="1">
        <f t="shared" si="1"/>
        <v>290</v>
      </c>
      <c r="O8" s="1">
        <f t="shared" si="1"/>
        <v>374</v>
      </c>
    </row>
    <row r="10" spans="1:47" ht="30" customHeight="1" x14ac:dyDescent="0.3">
      <c r="A10" s="8" t="s">
        <v>18</v>
      </c>
      <c r="B10" s="8"/>
      <c r="C10" s="8"/>
      <c r="D10" s="8"/>
      <c r="E10" s="8"/>
      <c r="F10" s="8"/>
      <c r="G10" s="8"/>
      <c r="J10" s="8" t="s">
        <v>21</v>
      </c>
      <c r="K10" s="8"/>
      <c r="L10" s="8"/>
      <c r="M10" s="8"/>
      <c r="N10" s="8"/>
      <c r="O10" s="8"/>
      <c r="P10" s="8"/>
      <c r="S10" s="8" t="s">
        <v>22</v>
      </c>
      <c r="T10" s="8"/>
      <c r="U10" s="8"/>
      <c r="V10" s="8"/>
      <c r="W10" s="8"/>
      <c r="X10" s="8"/>
      <c r="Y10" s="8"/>
      <c r="AB10" s="8" t="s">
        <v>23</v>
      </c>
      <c r="AC10" s="8"/>
      <c r="AD10" s="8"/>
      <c r="AE10" s="8"/>
      <c r="AF10" s="8"/>
      <c r="AG10" s="8"/>
      <c r="AH10" s="8"/>
      <c r="AI10" s="1" cm="1">
        <f t="array" ref="AI10">SUM($B$3:$F$7*AC12:AG16)</f>
        <v>7556</v>
      </c>
      <c r="AJ10" s="1">
        <f>COUNT(AC12:AG16)</f>
        <v>9</v>
      </c>
      <c r="AM10" s="8" t="s">
        <v>24</v>
      </c>
      <c r="AN10" s="8"/>
      <c r="AO10" s="8"/>
      <c r="AP10" s="8"/>
      <c r="AQ10" s="8"/>
      <c r="AR10" s="8"/>
      <c r="AS10" s="8"/>
      <c r="AT10" s="1" cm="1">
        <f t="array" ref="AT10">SUM($B$3:$F$7*AN12:AR16)</f>
        <v>7500</v>
      </c>
      <c r="AU10" s="1">
        <f>COUNT(AN12:AR16)</f>
        <v>9</v>
      </c>
    </row>
    <row r="11" spans="1:47" ht="30" customHeight="1" x14ac:dyDescent="0.3">
      <c r="B11" s="1" t="s">
        <v>5</v>
      </c>
      <c r="C11" s="1" t="s">
        <v>6</v>
      </c>
      <c r="D11" s="1" t="s">
        <v>7</v>
      </c>
      <c r="E11" s="1" t="s">
        <v>8</v>
      </c>
      <c r="F11" s="1" t="s">
        <v>9</v>
      </c>
      <c r="G11" s="1" t="s">
        <v>19</v>
      </c>
      <c r="K11" s="1" t="s">
        <v>5</v>
      </c>
      <c r="L11" s="1" t="s">
        <v>6</v>
      </c>
      <c r="M11" s="1" t="s">
        <v>7</v>
      </c>
      <c r="N11" s="1" t="s">
        <v>8</v>
      </c>
      <c r="O11" s="1" t="s">
        <v>9</v>
      </c>
      <c r="P11" s="1" t="s">
        <v>19</v>
      </c>
      <c r="T11" s="1" t="s">
        <v>5</v>
      </c>
      <c r="U11" s="1" t="s">
        <v>6</v>
      </c>
      <c r="V11" s="1" t="s">
        <v>7</v>
      </c>
      <c r="W11" s="1" t="s">
        <v>8</v>
      </c>
      <c r="X11" s="1" t="s">
        <v>9</v>
      </c>
      <c r="Y11" s="1" t="s">
        <v>19</v>
      </c>
      <c r="AC11" s="1" t="s">
        <v>5</v>
      </c>
      <c r="AD11" s="1" t="s">
        <v>6</v>
      </c>
      <c r="AE11" s="1" t="s">
        <v>7</v>
      </c>
      <c r="AF11" s="1" t="s">
        <v>8</v>
      </c>
      <c r="AG11" s="1" t="s">
        <v>9</v>
      </c>
      <c r="AH11" s="1" t="s">
        <v>11</v>
      </c>
      <c r="AN11" s="1" t="s">
        <v>5</v>
      </c>
      <c r="AO11" s="1" t="s">
        <v>6</v>
      </c>
      <c r="AP11" s="1" t="s">
        <v>7</v>
      </c>
      <c r="AQ11" s="1" t="s">
        <v>8</v>
      </c>
      <c r="AR11" s="1" t="s">
        <v>9</v>
      </c>
      <c r="AS11" s="1" t="s">
        <v>11</v>
      </c>
    </row>
    <row r="12" spans="1:47" ht="30" customHeight="1" x14ac:dyDescent="0.3">
      <c r="A12" s="1" t="s">
        <v>0</v>
      </c>
      <c r="B12" s="2">
        <v>4</v>
      </c>
      <c r="C12" s="2">
        <v>5</v>
      </c>
      <c r="D12" s="2"/>
      <c r="E12" s="2"/>
      <c r="F12" s="2"/>
      <c r="G12" s="1">
        <v>0</v>
      </c>
      <c r="J12" s="1" t="s">
        <v>0</v>
      </c>
      <c r="K12" s="10" cm="1">
        <f t="array" ref="K12:O16">_xlfn.ANCHORARRAY(K17)+_xlfn.ANCHORARRAY(P12)</f>
        <v>4</v>
      </c>
      <c r="L12" s="10">
        <v>5</v>
      </c>
      <c r="M12" s="10">
        <v>8</v>
      </c>
      <c r="N12" s="10">
        <v>8</v>
      </c>
      <c r="O12" s="10">
        <v>11</v>
      </c>
      <c r="P12" s="1" cm="1">
        <f t="array" ref="P12:P16">G12:G16</f>
        <v>0</v>
      </c>
      <c r="S12" s="1" t="s">
        <v>0</v>
      </c>
      <c r="T12" s="3" cm="1">
        <f t="array" ref="T12:X16">K12:O16-$B$3:$F$7</f>
        <v>0</v>
      </c>
      <c r="U12" s="3">
        <v>0</v>
      </c>
      <c r="V12" s="10">
        <v>2</v>
      </c>
      <c r="W12" s="10">
        <v>2</v>
      </c>
      <c r="X12" s="10">
        <v>7</v>
      </c>
      <c r="Y12" s="1" cm="1">
        <f t="array" ref="Y12:Y16">G12:G16</f>
        <v>0</v>
      </c>
      <c r="AB12" s="1" t="s">
        <v>0</v>
      </c>
      <c r="AC12" s="9">
        <v>242</v>
      </c>
      <c r="AD12" s="6">
        <v>8</v>
      </c>
      <c r="AE12" s="9"/>
      <c r="AF12" s="9"/>
      <c r="AG12" s="5"/>
      <c r="AH12" s="1">
        <f>SUM(AC12:AG12)</f>
        <v>250</v>
      </c>
      <c r="AM12" s="1" t="s">
        <v>0</v>
      </c>
      <c r="AN12" s="9">
        <v>242</v>
      </c>
      <c r="AO12" s="9"/>
      <c r="AP12" s="9"/>
      <c r="AQ12" s="9"/>
      <c r="AR12" s="9">
        <v>8</v>
      </c>
      <c r="AS12" s="1">
        <f>SUM(AN12:AR12)</f>
        <v>250</v>
      </c>
    </row>
    <row r="13" spans="1:47" ht="30" customHeight="1" x14ac:dyDescent="0.3">
      <c r="A13" s="1" t="s">
        <v>1</v>
      </c>
      <c r="B13" s="2"/>
      <c r="C13" s="2">
        <v>3</v>
      </c>
      <c r="D13" s="2">
        <v>6</v>
      </c>
      <c r="E13" s="2"/>
      <c r="F13" s="2"/>
      <c r="G13" s="1">
        <v>-2</v>
      </c>
      <c r="J13" s="1" t="s">
        <v>1</v>
      </c>
      <c r="K13" s="10">
        <v>2</v>
      </c>
      <c r="L13" s="10">
        <v>3</v>
      </c>
      <c r="M13" s="10">
        <v>6</v>
      </c>
      <c r="N13" s="10">
        <v>6</v>
      </c>
      <c r="O13" s="10">
        <v>9</v>
      </c>
      <c r="P13" s="1">
        <v>-2</v>
      </c>
      <c r="S13" s="1" t="s">
        <v>1</v>
      </c>
      <c r="T13" s="10">
        <v>-1</v>
      </c>
      <c r="U13" s="3">
        <v>0</v>
      </c>
      <c r="V13" s="3">
        <v>0</v>
      </c>
      <c r="W13" s="10">
        <v>1</v>
      </c>
      <c r="X13" s="10">
        <v>2</v>
      </c>
      <c r="Y13" s="1">
        <v>-2</v>
      </c>
      <c r="AB13" s="1" t="s">
        <v>1</v>
      </c>
      <c r="AC13" s="9"/>
      <c r="AD13" s="5">
        <v>258</v>
      </c>
      <c r="AE13" s="6">
        <v>42</v>
      </c>
      <c r="AF13" s="9"/>
      <c r="AG13" s="9"/>
      <c r="AH13" s="1">
        <f t="shared" ref="AH13:AH16" si="2">SUM(AC13:AG13)</f>
        <v>300</v>
      </c>
      <c r="AM13" s="1" t="s">
        <v>1</v>
      </c>
      <c r="AN13" s="9"/>
      <c r="AO13" s="9">
        <v>266</v>
      </c>
      <c r="AP13" s="9">
        <v>34</v>
      </c>
      <c r="AQ13" s="9"/>
      <c r="AR13" s="9"/>
      <c r="AS13" s="1">
        <f t="shared" ref="AS13:AS16" si="3">SUM(AN13:AR13)</f>
        <v>300</v>
      </c>
    </row>
    <row r="14" spans="1:47" ht="30" customHeight="1" x14ac:dyDescent="0.3">
      <c r="A14" s="1" t="s">
        <v>2</v>
      </c>
      <c r="B14" s="2"/>
      <c r="C14" s="2"/>
      <c r="D14" s="2">
        <v>7</v>
      </c>
      <c r="E14" s="2">
        <v>7</v>
      </c>
      <c r="F14" s="2"/>
      <c r="G14" s="1">
        <v>-1</v>
      </c>
      <c r="J14" s="1" t="s">
        <v>2</v>
      </c>
      <c r="K14" s="10">
        <v>3</v>
      </c>
      <c r="L14" s="10">
        <v>4</v>
      </c>
      <c r="M14" s="10">
        <v>7</v>
      </c>
      <c r="N14" s="10">
        <v>7</v>
      </c>
      <c r="O14" s="10">
        <v>10</v>
      </c>
      <c r="P14" s="1">
        <v>-1</v>
      </c>
      <c r="S14" s="1" t="s">
        <v>2</v>
      </c>
      <c r="T14" s="10">
        <v>-2</v>
      </c>
      <c r="U14" s="10">
        <v>-2</v>
      </c>
      <c r="V14" s="3">
        <v>0</v>
      </c>
      <c r="W14" s="3">
        <v>0</v>
      </c>
      <c r="X14" s="10">
        <v>6</v>
      </c>
      <c r="Y14" s="1">
        <v>-1</v>
      </c>
      <c r="AB14" s="1" t="s">
        <v>2</v>
      </c>
      <c r="AC14" s="9"/>
      <c r="AD14" s="9"/>
      <c r="AE14" s="5">
        <v>236</v>
      </c>
      <c r="AF14" s="6">
        <v>114</v>
      </c>
      <c r="AG14" s="9"/>
      <c r="AH14" s="1">
        <f t="shared" si="2"/>
        <v>350</v>
      </c>
      <c r="AM14" s="1" t="s">
        <v>2</v>
      </c>
      <c r="AN14" s="9"/>
      <c r="AO14" s="9"/>
      <c r="AP14" s="9">
        <v>244</v>
      </c>
      <c r="AQ14" s="9">
        <v>106</v>
      </c>
      <c r="AR14" s="9"/>
      <c r="AS14" s="1">
        <f t="shared" si="3"/>
        <v>350</v>
      </c>
    </row>
    <row r="15" spans="1:47" ht="30" customHeight="1" x14ac:dyDescent="0.3">
      <c r="A15" s="1" t="s">
        <v>3</v>
      </c>
      <c r="B15" s="2"/>
      <c r="C15" s="2"/>
      <c r="D15" s="2"/>
      <c r="E15" s="2">
        <v>4</v>
      </c>
      <c r="F15" s="2">
        <v>7</v>
      </c>
      <c r="G15" s="1">
        <v>-4</v>
      </c>
      <c r="J15" s="1" t="s">
        <v>3</v>
      </c>
      <c r="K15" s="10">
        <v>0</v>
      </c>
      <c r="L15" s="10">
        <v>1</v>
      </c>
      <c r="M15" s="10">
        <v>4</v>
      </c>
      <c r="N15" s="10">
        <v>4</v>
      </c>
      <c r="O15" s="10">
        <v>7</v>
      </c>
      <c r="P15" s="1">
        <v>-4</v>
      </c>
      <c r="S15" s="1" t="s">
        <v>3</v>
      </c>
      <c r="T15" s="10">
        <v>-7</v>
      </c>
      <c r="U15" s="10">
        <v>-5</v>
      </c>
      <c r="V15" s="10">
        <v>0</v>
      </c>
      <c r="W15" s="3">
        <v>0</v>
      </c>
      <c r="X15" s="3">
        <v>0</v>
      </c>
      <c r="Y15" s="1">
        <v>-4</v>
      </c>
      <c r="AB15" s="1" t="s">
        <v>3</v>
      </c>
      <c r="AC15" s="9"/>
      <c r="AD15" s="9"/>
      <c r="AE15" s="9"/>
      <c r="AF15" s="5">
        <v>176</v>
      </c>
      <c r="AG15" s="6">
        <v>124</v>
      </c>
      <c r="AH15" s="1">
        <f t="shared" si="2"/>
        <v>300</v>
      </c>
      <c r="AM15" s="1" t="s">
        <v>3</v>
      </c>
      <c r="AN15" s="9"/>
      <c r="AO15" s="9"/>
      <c r="AP15" s="9"/>
      <c r="AQ15" s="9">
        <v>184</v>
      </c>
      <c r="AR15" s="9">
        <v>116</v>
      </c>
      <c r="AS15" s="1">
        <f t="shared" si="3"/>
        <v>300</v>
      </c>
    </row>
    <row r="16" spans="1:47" ht="30" customHeight="1" x14ac:dyDescent="0.3">
      <c r="A16" s="1" t="s">
        <v>4</v>
      </c>
      <c r="B16" s="2"/>
      <c r="C16" s="2"/>
      <c r="D16" s="2"/>
      <c r="E16" s="2"/>
      <c r="F16" s="2">
        <v>6</v>
      </c>
      <c r="G16" s="1">
        <v>-5</v>
      </c>
      <c r="J16" s="1" t="s">
        <v>4</v>
      </c>
      <c r="K16" s="10">
        <v>-1</v>
      </c>
      <c r="L16" s="10">
        <v>0</v>
      </c>
      <c r="M16" s="10">
        <v>3</v>
      </c>
      <c r="N16" s="10">
        <v>3</v>
      </c>
      <c r="O16" s="10">
        <v>6</v>
      </c>
      <c r="P16" s="1">
        <v>-5</v>
      </c>
      <c r="S16" s="1" t="s">
        <v>4</v>
      </c>
      <c r="T16" s="10">
        <v>-7</v>
      </c>
      <c r="U16" s="10">
        <v>-5</v>
      </c>
      <c r="V16" s="10">
        <v>-3</v>
      </c>
      <c r="W16" s="10">
        <v>-4</v>
      </c>
      <c r="X16" s="3">
        <v>0</v>
      </c>
      <c r="Y16" s="1">
        <v>-5</v>
      </c>
      <c r="AB16" s="1" t="s">
        <v>4</v>
      </c>
      <c r="AC16" s="9"/>
      <c r="AD16" s="9"/>
      <c r="AE16" s="9"/>
      <c r="AF16" s="9"/>
      <c r="AG16" s="9">
        <v>250</v>
      </c>
      <c r="AH16" s="1">
        <f t="shared" si="2"/>
        <v>250</v>
      </c>
      <c r="AM16" s="1" t="s">
        <v>4</v>
      </c>
      <c r="AN16" s="9"/>
      <c r="AO16" s="9"/>
      <c r="AP16" s="9"/>
      <c r="AQ16" s="9"/>
      <c r="AR16" s="9">
        <v>250</v>
      </c>
      <c r="AS16" s="1">
        <f t="shared" si="3"/>
        <v>250</v>
      </c>
    </row>
    <row r="17" spans="1:47" ht="30" customHeight="1" x14ac:dyDescent="0.3">
      <c r="A17" s="1" t="s">
        <v>20</v>
      </c>
      <c r="B17" s="1">
        <v>4</v>
      </c>
      <c r="C17" s="1">
        <v>5</v>
      </c>
      <c r="D17" s="1">
        <v>8</v>
      </c>
      <c r="E17" s="1">
        <v>8</v>
      </c>
      <c r="F17" s="1">
        <v>11</v>
      </c>
      <c r="J17" s="1" t="s">
        <v>20</v>
      </c>
      <c r="K17" s="1" cm="1">
        <f t="array" ref="K17:O17">B17:F17</f>
        <v>4</v>
      </c>
      <c r="L17" s="1">
        <v>5</v>
      </c>
      <c r="M17" s="1">
        <v>8</v>
      </c>
      <c r="N17" s="1">
        <v>8</v>
      </c>
      <c r="O17" s="1">
        <v>11</v>
      </c>
      <c r="S17" s="1" t="s">
        <v>20</v>
      </c>
      <c r="T17" s="1" cm="1">
        <f t="array" ref="T17:X17">B17:F17</f>
        <v>4</v>
      </c>
      <c r="U17" s="1">
        <v>5</v>
      </c>
      <c r="V17" s="1">
        <v>8</v>
      </c>
      <c r="W17" s="1">
        <v>8</v>
      </c>
      <c r="X17" s="1">
        <v>11</v>
      </c>
      <c r="AB17" s="1" t="s">
        <v>10</v>
      </c>
      <c r="AC17" s="1">
        <f>SUM(AC12:AC16)</f>
        <v>242</v>
      </c>
      <c r="AD17" s="1">
        <f t="shared" ref="AD17:AG17" si="4">SUM(AD12:AD16)</f>
        <v>266</v>
      </c>
      <c r="AE17" s="1">
        <f t="shared" si="4"/>
        <v>278</v>
      </c>
      <c r="AF17" s="1">
        <f t="shared" si="4"/>
        <v>290</v>
      </c>
      <c r="AG17" s="1">
        <f t="shared" si="4"/>
        <v>374</v>
      </c>
      <c r="AM17" s="1" t="s">
        <v>10</v>
      </c>
      <c r="AN17" s="1">
        <f>SUM(AN12:AN16)</f>
        <v>242</v>
      </c>
      <c r="AO17" s="1">
        <f t="shared" ref="AO17:AR17" si="5">SUM(AO12:AO16)</f>
        <v>266</v>
      </c>
      <c r="AP17" s="1">
        <f t="shared" si="5"/>
        <v>278</v>
      </c>
      <c r="AQ17" s="1">
        <f t="shared" si="5"/>
        <v>290</v>
      </c>
      <c r="AR17" s="1">
        <f t="shared" si="5"/>
        <v>374</v>
      </c>
    </row>
    <row r="20" spans="1:47" ht="30" customHeight="1" x14ac:dyDescent="0.3">
      <c r="A20" s="8" t="s">
        <v>18</v>
      </c>
      <c r="B20" s="8"/>
      <c r="C20" s="8"/>
      <c r="D20" s="8"/>
      <c r="E20" s="8"/>
      <c r="F20" s="8"/>
      <c r="G20" s="8"/>
      <c r="J20" s="8" t="s">
        <v>21</v>
      </c>
      <c r="K20" s="8"/>
      <c r="L20" s="8"/>
      <c r="M20" s="8"/>
      <c r="N20" s="8"/>
      <c r="O20" s="8"/>
      <c r="P20" s="8"/>
      <c r="S20" s="8" t="s">
        <v>22</v>
      </c>
      <c r="T20" s="8"/>
      <c r="U20" s="8"/>
      <c r="V20" s="8"/>
      <c r="W20" s="8"/>
      <c r="X20" s="8"/>
      <c r="Y20" s="8"/>
      <c r="AB20" s="8" t="s">
        <v>23</v>
      </c>
      <c r="AC20" s="8"/>
      <c r="AD20" s="8"/>
      <c r="AE20" s="8"/>
      <c r="AF20" s="8"/>
      <c r="AG20" s="8"/>
      <c r="AH20" s="8"/>
      <c r="AI20" s="1" cm="1">
        <f t="array" ref="AI20">SUM($B$3:$F$7*AC22:AG26)</f>
        <v>7500</v>
      </c>
      <c r="AJ20" s="1">
        <f>COUNT(AC22:AG26)</f>
        <v>9</v>
      </c>
      <c r="AM20" s="8" t="s">
        <v>24</v>
      </c>
      <c r="AN20" s="8"/>
      <c r="AO20" s="8"/>
      <c r="AP20" s="8"/>
      <c r="AQ20" s="8"/>
      <c r="AR20" s="8"/>
      <c r="AS20" s="8"/>
      <c r="AT20" s="1" cm="1">
        <f t="array" ref="AT20">SUM($B$3:$F$7*AN22:AR26)</f>
        <v>7296</v>
      </c>
      <c r="AU20" s="1">
        <f>COUNT(AN22:AR26)</f>
        <v>9</v>
      </c>
    </row>
    <row r="21" spans="1:47" ht="30" customHeight="1" x14ac:dyDescent="0.3">
      <c r="B21" s="1" t="s">
        <v>5</v>
      </c>
      <c r="C21" s="1" t="s">
        <v>6</v>
      </c>
      <c r="D21" s="1" t="s">
        <v>7</v>
      </c>
      <c r="E21" s="1" t="s">
        <v>8</v>
      </c>
      <c r="F21" s="1" t="s">
        <v>9</v>
      </c>
      <c r="G21" s="1" t="s">
        <v>19</v>
      </c>
      <c r="K21" s="1" t="s">
        <v>5</v>
      </c>
      <c r="L21" s="1" t="s">
        <v>6</v>
      </c>
      <c r="M21" s="1" t="s">
        <v>7</v>
      </c>
      <c r="N21" s="1" t="s">
        <v>8</v>
      </c>
      <c r="O21" s="1" t="s">
        <v>9</v>
      </c>
      <c r="P21" s="1" t="s">
        <v>19</v>
      </c>
      <c r="T21" s="1" t="s">
        <v>5</v>
      </c>
      <c r="U21" s="1" t="s">
        <v>6</v>
      </c>
      <c r="V21" s="1" t="s">
        <v>7</v>
      </c>
      <c r="W21" s="1" t="s">
        <v>8</v>
      </c>
      <c r="X21" s="1" t="s">
        <v>9</v>
      </c>
      <c r="Y21" s="1" t="s">
        <v>19</v>
      </c>
      <c r="AC21" s="1" t="s">
        <v>5</v>
      </c>
      <c r="AD21" s="1" t="s">
        <v>6</v>
      </c>
      <c r="AE21" s="1" t="s">
        <v>7</v>
      </c>
      <c r="AF21" s="1" t="s">
        <v>8</v>
      </c>
      <c r="AG21" s="1" t="s">
        <v>9</v>
      </c>
      <c r="AH21" s="1" t="s">
        <v>11</v>
      </c>
      <c r="AN21" s="1" t="s">
        <v>5</v>
      </c>
      <c r="AO21" s="1" t="s">
        <v>6</v>
      </c>
      <c r="AP21" s="1" t="s">
        <v>7</v>
      </c>
      <c r="AQ21" s="1" t="s">
        <v>8</v>
      </c>
      <c r="AR21" s="1" t="s">
        <v>9</v>
      </c>
      <c r="AS21" s="1" t="s">
        <v>11</v>
      </c>
    </row>
    <row r="22" spans="1:47" ht="30" customHeight="1" x14ac:dyDescent="0.3">
      <c r="A22" s="1" t="s">
        <v>0</v>
      </c>
      <c r="B22" s="2">
        <v>4</v>
      </c>
      <c r="C22" s="2"/>
      <c r="D22" s="2"/>
      <c r="E22" s="2"/>
      <c r="F22" s="2">
        <v>4</v>
      </c>
      <c r="G22" s="1">
        <v>0</v>
      </c>
      <c r="J22" s="1" t="s">
        <v>0</v>
      </c>
      <c r="K22" s="4" cm="1">
        <f t="array" ref="K22:O26">_xlfn.ANCHORARRAY(K27)+_xlfn.ANCHORARRAY(P22)</f>
        <v>4</v>
      </c>
      <c r="L22" s="10">
        <v>-2</v>
      </c>
      <c r="M22" s="10">
        <v>1</v>
      </c>
      <c r="N22" s="10">
        <v>1</v>
      </c>
      <c r="O22" s="10">
        <v>4</v>
      </c>
      <c r="P22" s="1" cm="1">
        <f t="array" ref="P22:P26">G22:G26</f>
        <v>0</v>
      </c>
      <c r="S22" s="1" t="s">
        <v>0</v>
      </c>
      <c r="T22" s="3" cm="1">
        <f t="array" ref="T22:X26">K22:O26-$B$3:$F$7</f>
        <v>0</v>
      </c>
      <c r="U22" s="4">
        <v>-7</v>
      </c>
      <c r="V22" s="4">
        <v>-5</v>
      </c>
      <c r="W22" s="4">
        <v>-5</v>
      </c>
      <c r="X22" s="3">
        <v>0</v>
      </c>
      <c r="Y22" s="1" cm="1">
        <f t="array" ref="Y22:Y26">G22:G26</f>
        <v>0</v>
      </c>
      <c r="AB22" s="1" t="s">
        <v>0</v>
      </c>
      <c r="AC22" s="6">
        <v>242</v>
      </c>
      <c r="AD22" s="9"/>
      <c r="AE22" s="9"/>
      <c r="AF22" s="9"/>
      <c r="AG22" s="5">
        <v>8</v>
      </c>
      <c r="AH22" s="1">
        <f>SUM(AC22:AG22)</f>
        <v>250</v>
      </c>
      <c r="AM22" s="1" t="s">
        <v>0</v>
      </c>
      <c r="AN22" s="9">
        <v>208</v>
      </c>
      <c r="AO22" s="9"/>
      <c r="AP22" s="9"/>
      <c r="AQ22" s="9"/>
      <c r="AR22" s="9">
        <v>42</v>
      </c>
      <c r="AS22" s="1">
        <f>SUM(AN22:AR22)</f>
        <v>250</v>
      </c>
    </row>
    <row r="23" spans="1:47" ht="30" customHeight="1" x14ac:dyDescent="0.3">
      <c r="A23" s="1" t="s">
        <v>1</v>
      </c>
      <c r="B23" s="2"/>
      <c r="C23" s="2">
        <v>3</v>
      </c>
      <c r="D23" s="2">
        <v>6</v>
      </c>
      <c r="E23" s="2"/>
      <c r="F23" s="2"/>
      <c r="G23" s="1">
        <v>5</v>
      </c>
      <c r="J23" s="1" t="s">
        <v>1</v>
      </c>
      <c r="K23" s="10">
        <v>9</v>
      </c>
      <c r="L23" s="10">
        <v>3</v>
      </c>
      <c r="M23" s="10">
        <v>6</v>
      </c>
      <c r="N23" s="10">
        <v>6</v>
      </c>
      <c r="O23" s="10">
        <v>9</v>
      </c>
      <c r="P23" s="1">
        <v>5</v>
      </c>
      <c r="S23" s="1" t="s">
        <v>1</v>
      </c>
      <c r="T23" s="4">
        <v>6</v>
      </c>
      <c r="U23" s="3">
        <v>0</v>
      </c>
      <c r="V23" s="3">
        <v>0</v>
      </c>
      <c r="W23" s="4">
        <v>1</v>
      </c>
      <c r="X23" s="4">
        <v>2</v>
      </c>
      <c r="Y23" s="1">
        <v>5</v>
      </c>
      <c r="AB23" s="1" t="s">
        <v>1</v>
      </c>
      <c r="AC23" s="5"/>
      <c r="AD23" s="9">
        <v>266</v>
      </c>
      <c r="AE23" s="6">
        <v>34</v>
      </c>
      <c r="AF23" s="9"/>
      <c r="AG23" s="9"/>
      <c r="AH23" s="1">
        <f t="shared" ref="AH23:AH26" si="6">SUM(AC23:AG23)</f>
        <v>300</v>
      </c>
      <c r="AM23" s="1" t="s">
        <v>1</v>
      </c>
      <c r="AN23" s="9">
        <v>34</v>
      </c>
      <c r="AO23" s="9">
        <v>266</v>
      </c>
      <c r="AP23" s="9"/>
      <c r="AQ23" s="9"/>
      <c r="AR23" s="9"/>
      <c r="AS23" s="1">
        <f t="shared" ref="AS23:AS26" si="7">SUM(AN23:AR23)</f>
        <v>300</v>
      </c>
    </row>
    <row r="24" spans="1:47" ht="30" customHeight="1" x14ac:dyDescent="0.3">
      <c r="A24" s="1" t="s">
        <v>2</v>
      </c>
      <c r="B24" s="2"/>
      <c r="C24" s="2"/>
      <c r="D24" s="2">
        <v>7</v>
      </c>
      <c r="E24" s="2">
        <v>7</v>
      </c>
      <c r="F24" s="2"/>
      <c r="G24" s="1">
        <v>6</v>
      </c>
      <c r="J24" s="1" t="s">
        <v>2</v>
      </c>
      <c r="K24" s="10">
        <v>10</v>
      </c>
      <c r="L24" s="10">
        <v>4</v>
      </c>
      <c r="M24" s="10">
        <v>7</v>
      </c>
      <c r="N24" s="10">
        <v>7</v>
      </c>
      <c r="O24" s="10">
        <v>10</v>
      </c>
      <c r="P24" s="1">
        <v>6</v>
      </c>
      <c r="S24" s="1" t="s">
        <v>2</v>
      </c>
      <c r="T24" s="4">
        <v>5</v>
      </c>
      <c r="U24" s="4">
        <v>-2</v>
      </c>
      <c r="V24" s="3">
        <v>0</v>
      </c>
      <c r="W24" s="3">
        <v>0</v>
      </c>
      <c r="X24" s="4">
        <v>6</v>
      </c>
      <c r="Y24" s="1">
        <v>6</v>
      </c>
      <c r="AB24" s="1" t="s">
        <v>2</v>
      </c>
      <c r="AC24" s="9"/>
      <c r="AD24" s="9"/>
      <c r="AE24" s="5">
        <v>244</v>
      </c>
      <c r="AF24" s="6">
        <v>106</v>
      </c>
      <c r="AG24" s="9"/>
      <c r="AH24" s="1">
        <f t="shared" si="6"/>
        <v>350</v>
      </c>
      <c r="AM24" s="1" t="s">
        <v>2</v>
      </c>
      <c r="AN24" s="9"/>
      <c r="AO24" s="9"/>
      <c r="AP24" s="9">
        <v>278</v>
      </c>
      <c r="AQ24" s="9">
        <v>72</v>
      </c>
      <c r="AR24" s="9"/>
      <c r="AS24" s="1">
        <f t="shared" si="7"/>
        <v>350</v>
      </c>
    </row>
    <row r="25" spans="1:47" ht="30" customHeight="1" x14ac:dyDescent="0.3">
      <c r="A25" s="1" t="s">
        <v>3</v>
      </c>
      <c r="B25" s="2"/>
      <c r="C25" s="2"/>
      <c r="D25" s="2"/>
      <c r="E25" s="2">
        <v>4</v>
      </c>
      <c r="F25" s="2">
        <v>7</v>
      </c>
      <c r="G25" s="1">
        <v>3</v>
      </c>
      <c r="J25" s="1" t="s">
        <v>3</v>
      </c>
      <c r="K25" s="10">
        <v>7</v>
      </c>
      <c r="L25" s="10">
        <v>1</v>
      </c>
      <c r="M25" s="10">
        <v>4</v>
      </c>
      <c r="N25" s="10">
        <v>4</v>
      </c>
      <c r="O25" s="10">
        <v>7</v>
      </c>
      <c r="P25" s="1">
        <v>3</v>
      </c>
      <c r="S25" s="1" t="s">
        <v>3</v>
      </c>
      <c r="T25" s="4">
        <v>0</v>
      </c>
      <c r="U25" s="4">
        <v>-5</v>
      </c>
      <c r="V25" s="3">
        <v>0</v>
      </c>
      <c r="W25" s="3">
        <v>0</v>
      </c>
      <c r="X25" s="3">
        <v>0</v>
      </c>
      <c r="Y25" s="1">
        <v>3</v>
      </c>
      <c r="AB25" s="1" t="s">
        <v>3</v>
      </c>
      <c r="AC25" s="9"/>
      <c r="AD25" s="9"/>
      <c r="AE25" s="9"/>
      <c r="AF25" s="5">
        <v>184</v>
      </c>
      <c r="AG25" s="6">
        <v>116</v>
      </c>
      <c r="AH25" s="1">
        <f t="shared" si="6"/>
        <v>300</v>
      </c>
      <c r="AM25" s="1" t="s">
        <v>3</v>
      </c>
      <c r="AN25" s="9"/>
      <c r="AO25" s="9"/>
      <c r="AP25" s="9"/>
      <c r="AQ25" s="9">
        <v>218</v>
      </c>
      <c r="AR25" s="9">
        <v>82</v>
      </c>
      <c r="AS25" s="1">
        <f t="shared" si="7"/>
        <v>300</v>
      </c>
    </row>
    <row r="26" spans="1:47" ht="30" customHeight="1" x14ac:dyDescent="0.3">
      <c r="A26" s="1" t="s">
        <v>4</v>
      </c>
      <c r="B26" s="2"/>
      <c r="C26" s="2"/>
      <c r="D26" s="2"/>
      <c r="E26" s="2"/>
      <c r="F26" s="2">
        <v>6</v>
      </c>
      <c r="G26" s="1">
        <v>2</v>
      </c>
      <c r="J26" s="1" t="s">
        <v>4</v>
      </c>
      <c r="K26" s="10">
        <v>6</v>
      </c>
      <c r="L26" s="10">
        <v>0</v>
      </c>
      <c r="M26" s="10">
        <v>3</v>
      </c>
      <c r="N26" s="10">
        <v>3</v>
      </c>
      <c r="O26" s="10">
        <v>6</v>
      </c>
      <c r="P26" s="1">
        <v>2</v>
      </c>
      <c r="S26" s="1" t="s">
        <v>4</v>
      </c>
      <c r="T26" s="4">
        <v>0</v>
      </c>
      <c r="U26" s="4">
        <v>-5</v>
      </c>
      <c r="V26" s="4">
        <v>-3</v>
      </c>
      <c r="W26" s="4">
        <v>-4</v>
      </c>
      <c r="X26" s="3">
        <v>0</v>
      </c>
      <c r="Y26" s="1">
        <v>2</v>
      </c>
      <c r="AB26" s="1" t="s">
        <v>4</v>
      </c>
      <c r="AC26" s="9"/>
      <c r="AD26" s="9"/>
      <c r="AE26" s="9"/>
      <c r="AF26" s="9"/>
      <c r="AG26" s="9">
        <v>250</v>
      </c>
      <c r="AH26" s="1">
        <f t="shared" si="6"/>
        <v>250</v>
      </c>
      <c r="AM26" s="1" t="s">
        <v>4</v>
      </c>
      <c r="AN26" s="9"/>
      <c r="AO26" s="9"/>
      <c r="AP26" s="9"/>
      <c r="AQ26" s="9"/>
      <c r="AR26" s="9">
        <v>250</v>
      </c>
      <c r="AS26" s="1">
        <f t="shared" si="7"/>
        <v>250</v>
      </c>
    </row>
    <row r="27" spans="1:47" ht="30" customHeight="1" x14ac:dyDescent="0.3">
      <c r="A27" s="1" t="s">
        <v>20</v>
      </c>
      <c r="B27" s="1">
        <v>4</v>
      </c>
      <c r="C27" s="1">
        <v>-2</v>
      </c>
      <c r="D27" s="1">
        <v>1</v>
      </c>
      <c r="E27" s="1">
        <v>1</v>
      </c>
      <c r="F27" s="1">
        <v>4</v>
      </c>
      <c r="J27" s="1" t="s">
        <v>20</v>
      </c>
      <c r="K27" s="1" cm="1">
        <f t="array" ref="K27:O27">B27:F27</f>
        <v>4</v>
      </c>
      <c r="L27" s="1">
        <v>-2</v>
      </c>
      <c r="M27" s="1">
        <v>1</v>
      </c>
      <c r="N27" s="1">
        <v>1</v>
      </c>
      <c r="O27" s="1">
        <v>4</v>
      </c>
      <c r="S27" s="1" t="s">
        <v>20</v>
      </c>
      <c r="T27" s="1" cm="1">
        <f t="array" ref="T27:X27">B27:F27</f>
        <v>4</v>
      </c>
      <c r="U27" s="1">
        <v>-2</v>
      </c>
      <c r="V27" s="1">
        <v>1</v>
      </c>
      <c r="W27" s="1">
        <v>1</v>
      </c>
      <c r="X27" s="1">
        <v>4</v>
      </c>
      <c r="AB27" s="1" t="s">
        <v>10</v>
      </c>
      <c r="AC27" s="1">
        <f>SUM(AC22:AC26)</f>
        <v>242</v>
      </c>
      <c r="AD27" s="1">
        <f t="shared" ref="AD27:AG27" si="8">SUM(AD22:AD26)</f>
        <v>266</v>
      </c>
      <c r="AE27" s="1">
        <f t="shared" si="8"/>
        <v>278</v>
      </c>
      <c r="AF27" s="1">
        <f t="shared" si="8"/>
        <v>290</v>
      </c>
      <c r="AG27" s="1">
        <f t="shared" si="8"/>
        <v>374</v>
      </c>
      <c r="AM27" s="1" t="s">
        <v>10</v>
      </c>
      <c r="AN27" s="1">
        <f>SUM(AN22:AN26)</f>
        <v>242</v>
      </c>
      <c r="AO27" s="1">
        <f t="shared" ref="AO27:AR27" si="9">SUM(AO22:AO26)</f>
        <v>266</v>
      </c>
      <c r="AP27" s="1">
        <f t="shared" si="9"/>
        <v>278</v>
      </c>
      <c r="AQ27" s="1">
        <f t="shared" si="9"/>
        <v>290</v>
      </c>
      <c r="AR27" s="1">
        <f t="shared" si="9"/>
        <v>374</v>
      </c>
    </row>
    <row r="30" spans="1:47" ht="30" customHeight="1" x14ac:dyDescent="0.3">
      <c r="A30" s="8" t="s">
        <v>18</v>
      </c>
      <c r="B30" s="8"/>
      <c r="C30" s="8"/>
      <c r="D30" s="8"/>
      <c r="E30" s="8"/>
      <c r="F30" s="8"/>
      <c r="G30" s="8"/>
      <c r="J30" s="8" t="s">
        <v>21</v>
      </c>
      <c r="K30" s="8"/>
      <c r="L30" s="8"/>
      <c r="M30" s="8"/>
      <c r="N30" s="8"/>
      <c r="O30" s="8"/>
      <c r="P30" s="8"/>
      <c r="S30" s="8" t="s">
        <v>22</v>
      </c>
      <c r="T30" s="8"/>
      <c r="U30" s="8"/>
      <c r="V30" s="8"/>
      <c r="W30" s="8"/>
      <c r="X30" s="8"/>
      <c r="Y30" s="8"/>
      <c r="AB30" s="8" t="s">
        <v>23</v>
      </c>
      <c r="AC30" s="8"/>
      <c r="AD30" s="8"/>
      <c r="AE30" s="8"/>
      <c r="AF30" s="8"/>
      <c r="AG30" s="8"/>
      <c r="AH30" s="8"/>
      <c r="AI30" s="1" cm="1">
        <f t="array" ref="AI30">SUM($B$3:$F$7*AC32:AG36)</f>
        <v>7296</v>
      </c>
      <c r="AJ30" s="1">
        <f>COUNT(AC32:AG36)</f>
        <v>9</v>
      </c>
      <c r="AM30" s="8" t="s">
        <v>24</v>
      </c>
      <c r="AN30" s="8"/>
      <c r="AO30" s="8"/>
      <c r="AP30" s="8"/>
      <c r="AQ30" s="8"/>
      <c r="AR30" s="8"/>
      <c r="AS30" s="8"/>
      <c r="AT30" s="1" cm="1">
        <f t="array" ref="AT30">SUM($B$3:$F$7*AN32:AR36)</f>
        <v>6864</v>
      </c>
      <c r="AU30" s="1">
        <f>COUNT(AN32:AR36)</f>
        <v>9</v>
      </c>
    </row>
    <row r="31" spans="1:47" ht="30" customHeight="1" x14ac:dyDescent="0.3">
      <c r="B31" s="1" t="s">
        <v>5</v>
      </c>
      <c r="C31" s="1" t="s">
        <v>6</v>
      </c>
      <c r="D31" s="1" t="s">
        <v>7</v>
      </c>
      <c r="E31" s="1" t="s">
        <v>8</v>
      </c>
      <c r="F31" s="1" t="s">
        <v>9</v>
      </c>
      <c r="G31" s="1" t="s">
        <v>19</v>
      </c>
      <c r="K31" s="1" t="s">
        <v>5</v>
      </c>
      <c r="L31" s="1" t="s">
        <v>6</v>
      </c>
      <c r="M31" s="1" t="s">
        <v>7</v>
      </c>
      <c r="N31" s="1" t="s">
        <v>8</v>
      </c>
      <c r="O31" s="1" t="s">
        <v>9</v>
      </c>
      <c r="P31" s="1" t="s">
        <v>19</v>
      </c>
      <c r="T31" s="1" t="s">
        <v>5</v>
      </c>
      <c r="U31" s="1" t="s">
        <v>6</v>
      </c>
      <c r="V31" s="1" t="s">
        <v>7</v>
      </c>
      <c r="W31" s="1" t="s">
        <v>8</v>
      </c>
      <c r="X31" s="1" t="s">
        <v>9</v>
      </c>
      <c r="Y31" s="1" t="s">
        <v>19</v>
      </c>
      <c r="AC31" s="1" t="s">
        <v>5</v>
      </c>
      <c r="AD31" s="1" t="s">
        <v>6</v>
      </c>
      <c r="AE31" s="1" t="s">
        <v>7</v>
      </c>
      <c r="AF31" s="1" t="s">
        <v>8</v>
      </c>
      <c r="AG31" s="1" t="s">
        <v>9</v>
      </c>
      <c r="AH31" s="1" t="s">
        <v>11</v>
      </c>
      <c r="AN31" s="1" t="s">
        <v>5</v>
      </c>
      <c r="AO31" s="1" t="s">
        <v>6</v>
      </c>
      <c r="AP31" s="1" t="s">
        <v>7</v>
      </c>
      <c r="AQ31" s="1" t="s">
        <v>8</v>
      </c>
      <c r="AR31" s="1" t="s">
        <v>9</v>
      </c>
      <c r="AS31" s="1" t="s">
        <v>11</v>
      </c>
    </row>
    <row r="32" spans="1:47" ht="30" customHeight="1" x14ac:dyDescent="0.3">
      <c r="A32" s="1" t="s">
        <v>0</v>
      </c>
      <c r="B32" s="2">
        <v>4</v>
      </c>
      <c r="C32" s="2"/>
      <c r="D32" s="2"/>
      <c r="E32" s="2"/>
      <c r="F32" s="2">
        <v>4</v>
      </c>
      <c r="G32" s="1">
        <v>0</v>
      </c>
      <c r="J32" s="1" t="s">
        <v>0</v>
      </c>
      <c r="K32" s="4" cm="1">
        <f t="array" ref="K32:O36">_xlfn.ANCHORARRAY(K37)+_xlfn.ANCHORARRAY(P32)</f>
        <v>4</v>
      </c>
      <c r="L32" s="10">
        <v>4</v>
      </c>
      <c r="M32" s="10">
        <v>1</v>
      </c>
      <c r="N32" s="10">
        <v>1</v>
      </c>
      <c r="O32" s="10">
        <v>4</v>
      </c>
      <c r="P32" s="1" cm="1">
        <f t="array" ref="P32:P36">G32:G36</f>
        <v>0</v>
      </c>
      <c r="S32" s="1" t="s">
        <v>0</v>
      </c>
      <c r="T32" s="3" cm="1">
        <f t="array" ref="T32:X36">K32:O36-$B$3:$F$7</f>
        <v>0</v>
      </c>
      <c r="U32" s="10">
        <v>-1</v>
      </c>
      <c r="V32" s="10">
        <v>-5</v>
      </c>
      <c r="W32" s="10">
        <v>-5</v>
      </c>
      <c r="X32" s="3">
        <v>0</v>
      </c>
      <c r="Y32" s="1" cm="1">
        <f t="array" ref="Y32:Y36">G32:G36</f>
        <v>0</v>
      </c>
      <c r="AB32" s="1" t="s">
        <v>0</v>
      </c>
      <c r="AC32" s="9">
        <v>208</v>
      </c>
      <c r="AD32" s="9"/>
      <c r="AE32" s="9"/>
      <c r="AF32" s="9"/>
      <c r="AG32" s="9">
        <v>42</v>
      </c>
      <c r="AH32" s="1">
        <f>SUM(AC32:AG32)</f>
        <v>250</v>
      </c>
      <c r="AM32" s="1" t="s">
        <v>0</v>
      </c>
      <c r="AN32" s="9">
        <v>208</v>
      </c>
      <c r="AO32" s="9"/>
      <c r="AP32" s="9"/>
      <c r="AQ32" s="9"/>
      <c r="AR32" s="9">
        <v>42</v>
      </c>
      <c r="AS32" s="1">
        <f>SUM(AN32:AR32)</f>
        <v>250</v>
      </c>
    </row>
    <row r="33" spans="1:47" ht="30" customHeight="1" x14ac:dyDescent="0.3">
      <c r="A33" s="1" t="s">
        <v>1</v>
      </c>
      <c r="B33" s="2">
        <v>3</v>
      </c>
      <c r="C33" s="2">
        <v>3</v>
      </c>
      <c r="D33" s="2"/>
      <c r="E33" s="2"/>
      <c r="F33" s="2"/>
      <c r="G33" s="1">
        <v>-1</v>
      </c>
      <c r="J33" s="1" t="s">
        <v>1</v>
      </c>
      <c r="K33" s="10">
        <v>3</v>
      </c>
      <c r="L33" s="10">
        <v>3</v>
      </c>
      <c r="M33" s="10">
        <v>0</v>
      </c>
      <c r="N33" s="10">
        <v>0</v>
      </c>
      <c r="O33" s="10">
        <v>3</v>
      </c>
      <c r="P33" s="1">
        <v>-1</v>
      </c>
      <c r="S33" s="1" t="s">
        <v>1</v>
      </c>
      <c r="T33" s="3">
        <v>0</v>
      </c>
      <c r="U33" s="3">
        <v>0</v>
      </c>
      <c r="V33" s="10">
        <v>-6</v>
      </c>
      <c r="W33" s="10">
        <v>-5</v>
      </c>
      <c r="X33" s="10">
        <v>-4</v>
      </c>
      <c r="Y33" s="1">
        <v>-1</v>
      </c>
      <c r="AB33" s="1" t="s">
        <v>1</v>
      </c>
      <c r="AC33" s="9">
        <v>34</v>
      </c>
      <c r="AD33" s="9">
        <v>266</v>
      </c>
      <c r="AE33" s="9"/>
      <c r="AF33" s="9"/>
      <c r="AG33" s="9"/>
      <c r="AH33" s="1">
        <f t="shared" ref="AH33:AH36" si="10">SUM(AC33:AG33)</f>
        <v>300</v>
      </c>
      <c r="AM33" s="1" t="s">
        <v>1</v>
      </c>
      <c r="AN33" s="9">
        <v>34</v>
      </c>
      <c r="AO33" s="9">
        <v>266</v>
      </c>
      <c r="AP33" s="9"/>
      <c r="AQ33" s="9"/>
      <c r="AR33" s="9"/>
      <c r="AS33" s="1">
        <f t="shared" ref="AS33:AS36" si="11">SUM(AN33:AR33)</f>
        <v>300</v>
      </c>
    </row>
    <row r="34" spans="1:47" ht="30" customHeight="1" x14ac:dyDescent="0.3">
      <c r="A34" s="1" t="s">
        <v>2</v>
      </c>
      <c r="B34" s="2"/>
      <c r="C34" s="2"/>
      <c r="D34" s="2">
        <v>7</v>
      </c>
      <c r="E34" s="2">
        <v>7</v>
      </c>
      <c r="F34" s="2"/>
      <c r="G34" s="1">
        <v>6</v>
      </c>
      <c r="J34" s="1" t="s">
        <v>2</v>
      </c>
      <c r="K34" s="10">
        <v>10</v>
      </c>
      <c r="L34" s="10">
        <v>10</v>
      </c>
      <c r="M34" s="10">
        <v>7</v>
      </c>
      <c r="N34" s="10">
        <v>7</v>
      </c>
      <c r="O34" s="10">
        <v>10</v>
      </c>
      <c r="P34" s="1">
        <v>6</v>
      </c>
      <c r="S34" s="1" t="s">
        <v>2</v>
      </c>
      <c r="T34" s="10">
        <v>5</v>
      </c>
      <c r="U34" s="10">
        <v>4</v>
      </c>
      <c r="V34" s="3">
        <v>0</v>
      </c>
      <c r="W34" s="3">
        <v>0</v>
      </c>
      <c r="X34" s="10">
        <v>6</v>
      </c>
      <c r="Y34" s="1">
        <v>6</v>
      </c>
      <c r="AB34" s="1" t="s">
        <v>2</v>
      </c>
      <c r="AC34" s="9"/>
      <c r="AD34" s="9"/>
      <c r="AE34" s="9">
        <v>278</v>
      </c>
      <c r="AF34" s="6">
        <v>72</v>
      </c>
      <c r="AG34" s="5"/>
      <c r="AH34" s="1">
        <f t="shared" si="10"/>
        <v>350</v>
      </c>
      <c r="AM34" s="1" t="s">
        <v>2</v>
      </c>
      <c r="AN34" s="9"/>
      <c r="AO34" s="9"/>
      <c r="AP34" s="9">
        <v>278</v>
      </c>
      <c r="AQ34" s="9"/>
      <c r="AR34" s="9">
        <v>72</v>
      </c>
      <c r="AS34" s="1">
        <f t="shared" si="11"/>
        <v>350</v>
      </c>
    </row>
    <row r="35" spans="1:47" ht="30" customHeight="1" x14ac:dyDescent="0.3">
      <c r="A35" s="1" t="s">
        <v>3</v>
      </c>
      <c r="B35" s="2"/>
      <c r="C35" s="2"/>
      <c r="D35" s="2"/>
      <c r="E35" s="2">
        <v>4</v>
      </c>
      <c r="F35" s="2">
        <v>7</v>
      </c>
      <c r="G35" s="1">
        <v>3</v>
      </c>
      <c r="J35" s="1" t="s">
        <v>3</v>
      </c>
      <c r="K35" s="10">
        <v>7</v>
      </c>
      <c r="L35" s="10">
        <v>7</v>
      </c>
      <c r="M35" s="10">
        <v>4</v>
      </c>
      <c r="N35" s="10">
        <v>4</v>
      </c>
      <c r="O35" s="10">
        <v>7</v>
      </c>
      <c r="P35" s="1">
        <v>3</v>
      </c>
      <c r="S35" s="1" t="s">
        <v>3</v>
      </c>
      <c r="T35" s="10">
        <v>0</v>
      </c>
      <c r="U35" s="10">
        <v>1</v>
      </c>
      <c r="V35" s="10">
        <v>0</v>
      </c>
      <c r="W35" s="3">
        <v>0</v>
      </c>
      <c r="X35" s="3">
        <v>0</v>
      </c>
      <c r="Y35" s="1">
        <v>3</v>
      </c>
      <c r="AB35" s="1" t="s">
        <v>3</v>
      </c>
      <c r="AC35" s="9"/>
      <c r="AD35" s="9"/>
      <c r="AE35" s="9"/>
      <c r="AF35" s="5">
        <v>218</v>
      </c>
      <c r="AG35" s="6">
        <v>82</v>
      </c>
      <c r="AH35" s="1">
        <f t="shared" si="10"/>
        <v>300</v>
      </c>
      <c r="AM35" s="1" t="s">
        <v>3</v>
      </c>
      <c r="AN35" s="9"/>
      <c r="AO35" s="9"/>
      <c r="AP35" s="9"/>
      <c r="AQ35" s="9">
        <v>290</v>
      </c>
      <c r="AR35" s="9">
        <v>10</v>
      </c>
      <c r="AS35" s="1">
        <f t="shared" si="11"/>
        <v>300</v>
      </c>
    </row>
    <row r="36" spans="1:47" ht="30" customHeight="1" x14ac:dyDescent="0.3">
      <c r="A36" s="1" t="s">
        <v>4</v>
      </c>
      <c r="B36" s="2"/>
      <c r="C36" s="2"/>
      <c r="D36" s="2"/>
      <c r="E36" s="2"/>
      <c r="F36" s="2">
        <v>6</v>
      </c>
      <c r="G36" s="1">
        <v>2</v>
      </c>
      <c r="J36" s="1" t="s">
        <v>4</v>
      </c>
      <c r="K36" s="10">
        <v>6</v>
      </c>
      <c r="L36" s="10">
        <v>6</v>
      </c>
      <c r="M36" s="10">
        <v>3</v>
      </c>
      <c r="N36" s="10">
        <v>3</v>
      </c>
      <c r="O36" s="10">
        <v>6</v>
      </c>
      <c r="P36" s="1">
        <v>2</v>
      </c>
      <c r="S36" s="1" t="s">
        <v>4</v>
      </c>
      <c r="T36" s="10">
        <v>0</v>
      </c>
      <c r="U36" s="10">
        <v>1</v>
      </c>
      <c r="V36" s="10">
        <v>-3</v>
      </c>
      <c r="W36" s="10">
        <v>-4</v>
      </c>
      <c r="X36" s="3">
        <v>0</v>
      </c>
      <c r="Y36" s="1">
        <v>2</v>
      </c>
      <c r="AB36" s="1" t="s">
        <v>4</v>
      </c>
      <c r="AC36" s="9"/>
      <c r="AD36" s="9"/>
      <c r="AE36" s="9"/>
      <c r="AF36" s="9"/>
      <c r="AG36" s="9">
        <v>250</v>
      </c>
      <c r="AH36" s="1">
        <f t="shared" si="10"/>
        <v>250</v>
      </c>
      <c r="AM36" s="1" t="s">
        <v>4</v>
      </c>
      <c r="AN36" s="9"/>
      <c r="AO36" s="9"/>
      <c r="AP36" s="9"/>
      <c r="AQ36" s="9"/>
      <c r="AR36" s="9">
        <v>250</v>
      </c>
      <c r="AS36" s="1">
        <f t="shared" si="11"/>
        <v>250</v>
      </c>
    </row>
    <row r="37" spans="1:47" ht="30" customHeight="1" x14ac:dyDescent="0.3">
      <c r="A37" s="1" t="s">
        <v>20</v>
      </c>
      <c r="B37" s="1">
        <v>4</v>
      </c>
      <c r="C37" s="1">
        <v>4</v>
      </c>
      <c r="D37" s="1">
        <v>1</v>
      </c>
      <c r="E37" s="1">
        <v>1</v>
      </c>
      <c r="F37" s="1">
        <v>4</v>
      </c>
      <c r="J37" s="1" t="s">
        <v>20</v>
      </c>
      <c r="K37" s="1" cm="1">
        <f t="array" ref="K37:O37">B37:F37</f>
        <v>4</v>
      </c>
      <c r="L37" s="1">
        <v>4</v>
      </c>
      <c r="M37" s="1">
        <v>1</v>
      </c>
      <c r="N37" s="1">
        <v>1</v>
      </c>
      <c r="O37" s="1">
        <v>4</v>
      </c>
      <c r="S37" s="1" t="s">
        <v>20</v>
      </c>
      <c r="T37" s="1" cm="1">
        <f t="array" ref="T37:X37">B37:F37</f>
        <v>4</v>
      </c>
      <c r="U37" s="1">
        <v>4</v>
      </c>
      <c r="V37" s="1">
        <v>1</v>
      </c>
      <c r="W37" s="1">
        <v>1</v>
      </c>
      <c r="X37" s="1">
        <v>4</v>
      </c>
      <c r="AB37" s="1" t="s">
        <v>10</v>
      </c>
      <c r="AC37" s="1">
        <f>SUM(AC32:AC36)</f>
        <v>242</v>
      </c>
      <c r="AD37" s="1">
        <f t="shared" ref="AD37:AG37" si="12">SUM(AD32:AD36)</f>
        <v>266</v>
      </c>
      <c r="AE37" s="1">
        <f t="shared" si="12"/>
        <v>278</v>
      </c>
      <c r="AF37" s="1">
        <f t="shared" si="12"/>
        <v>290</v>
      </c>
      <c r="AG37" s="1">
        <f t="shared" si="12"/>
        <v>374</v>
      </c>
      <c r="AM37" s="1" t="s">
        <v>10</v>
      </c>
      <c r="AN37" s="1">
        <f>SUM(AN32:AN36)</f>
        <v>242</v>
      </c>
      <c r="AO37" s="1">
        <f t="shared" ref="AO37:AR37" si="13">SUM(AO32:AO36)</f>
        <v>266</v>
      </c>
      <c r="AP37" s="1">
        <f t="shared" si="13"/>
        <v>278</v>
      </c>
      <c r="AQ37" s="1">
        <f t="shared" si="13"/>
        <v>290</v>
      </c>
      <c r="AR37" s="1">
        <f t="shared" si="13"/>
        <v>374</v>
      </c>
    </row>
    <row r="40" spans="1:47" ht="30" customHeight="1" x14ac:dyDescent="0.3">
      <c r="A40" s="8" t="s">
        <v>18</v>
      </c>
      <c r="B40" s="8"/>
      <c r="C40" s="8"/>
      <c r="D40" s="8"/>
      <c r="E40" s="8"/>
      <c r="F40" s="8"/>
      <c r="G40" s="8"/>
      <c r="J40" s="8" t="s">
        <v>21</v>
      </c>
      <c r="K40" s="8"/>
      <c r="L40" s="8"/>
      <c r="M40" s="8"/>
      <c r="N40" s="8"/>
      <c r="O40" s="8"/>
      <c r="P40" s="8"/>
      <c r="S40" s="8" t="s">
        <v>22</v>
      </c>
      <c r="T40" s="8"/>
      <c r="U40" s="8"/>
      <c r="V40" s="8"/>
      <c r="W40" s="8"/>
      <c r="X40" s="8"/>
      <c r="Y40" s="8"/>
      <c r="AB40" s="8" t="s">
        <v>23</v>
      </c>
      <c r="AC40" s="8"/>
      <c r="AD40" s="8"/>
      <c r="AE40" s="8"/>
      <c r="AF40" s="8"/>
      <c r="AG40" s="8"/>
      <c r="AH40" s="8"/>
      <c r="AI40" s="1" cm="1">
        <f t="array" ref="AI40">SUM($B$3:$F$7*AC42:AG46)</f>
        <v>6864</v>
      </c>
      <c r="AJ40" s="1">
        <f>COUNT(AC42:AG46)</f>
        <v>9</v>
      </c>
      <c r="AM40" s="8" t="s">
        <v>24</v>
      </c>
      <c r="AN40" s="8"/>
      <c r="AO40" s="8"/>
      <c r="AP40" s="8"/>
      <c r="AQ40" s="8"/>
      <c r="AR40" s="8"/>
      <c r="AS40" s="8"/>
      <c r="AT40" s="1" cm="1">
        <f t="array" ref="AT40">SUM($B$3:$F$7*AN42:AR46)</f>
        <v>6804</v>
      </c>
      <c r="AU40" s="1">
        <f>COUNT(AN42:AR46)</f>
        <v>9</v>
      </c>
    </row>
    <row r="41" spans="1:47" ht="30" customHeight="1" x14ac:dyDescent="0.3">
      <c r="B41" s="1" t="s">
        <v>5</v>
      </c>
      <c r="C41" s="1" t="s">
        <v>6</v>
      </c>
      <c r="D41" s="1" t="s">
        <v>7</v>
      </c>
      <c r="E41" s="1" t="s">
        <v>8</v>
      </c>
      <c r="F41" s="1" t="s">
        <v>9</v>
      </c>
      <c r="G41" s="1" t="s">
        <v>19</v>
      </c>
      <c r="K41" s="1" t="s">
        <v>5</v>
      </c>
      <c r="L41" s="1" t="s">
        <v>6</v>
      </c>
      <c r="M41" s="1" t="s">
        <v>7</v>
      </c>
      <c r="N41" s="1" t="s">
        <v>8</v>
      </c>
      <c r="O41" s="1" t="s">
        <v>9</v>
      </c>
      <c r="P41" s="1" t="s">
        <v>19</v>
      </c>
      <c r="T41" s="1" t="s">
        <v>5</v>
      </c>
      <c r="U41" s="1" t="s">
        <v>6</v>
      </c>
      <c r="V41" s="1" t="s">
        <v>7</v>
      </c>
      <c r="W41" s="1" t="s">
        <v>8</v>
      </c>
      <c r="X41" s="1" t="s">
        <v>9</v>
      </c>
      <c r="Y41" s="1" t="s">
        <v>19</v>
      </c>
      <c r="AC41" s="1" t="s">
        <v>5</v>
      </c>
      <c r="AD41" s="1" t="s">
        <v>6</v>
      </c>
      <c r="AE41" s="1" t="s">
        <v>7</v>
      </c>
      <c r="AF41" s="1" t="s">
        <v>8</v>
      </c>
      <c r="AG41" s="1" t="s">
        <v>9</v>
      </c>
      <c r="AH41" s="1" t="s">
        <v>11</v>
      </c>
      <c r="AN41" s="1" t="s">
        <v>5</v>
      </c>
      <c r="AO41" s="1" t="s">
        <v>6</v>
      </c>
      <c r="AP41" s="1" t="s">
        <v>7</v>
      </c>
      <c r="AQ41" s="1" t="s">
        <v>8</v>
      </c>
      <c r="AR41" s="1" t="s">
        <v>9</v>
      </c>
      <c r="AS41" s="1" t="s">
        <v>11</v>
      </c>
    </row>
    <row r="42" spans="1:47" ht="30" customHeight="1" x14ac:dyDescent="0.3">
      <c r="A42" s="1" t="s">
        <v>0</v>
      </c>
      <c r="B42" s="2">
        <v>4</v>
      </c>
      <c r="C42" s="2"/>
      <c r="D42" s="2"/>
      <c r="E42" s="2"/>
      <c r="F42" s="2">
        <v>4</v>
      </c>
      <c r="G42" s="1">
        <v>0</v>
      </c>
      <c r="J42" s="1" t="s">
        <v>0</v>
      </c>
      <c r="K42" s="4" cm="1">
        <f t="array" ref="K42:O46">_xlfn.ANCHORARRAY(K47)+_xlfn.ANCHORARRAY(P42)</f>
        <v>4</v>
      </c>
      <c r="L42" s="10">
        <v>4</v>
      </c>
      <c r="M42" s="10">
        <v>7</v>
      </c>
      <c r="N42" s="10">
        <v>1</v>
      </c>
      <c r="O42" s="10">
        <v>4</v>
      </c>
      <c r="P42" s="1" cm="1">
        <f t="array" ref="P42:P46">G42:G46</f>
        <v>0</v>
      </c>
      <c r="S42" s="1" t="s">
        <v>0</v>
      </c>
      <c r="T42" s="3" cm="1">
        <f t="array" ref="T42:X46">K42:O46-$B$3:$F$7</f>
        <v>0</v>
      </c>
      <c r="U42" s="10">
        <v>-1</v>
      </c>
      <c r="V42" s="10">
        <v>1</v>
      </c>
      <c r="W42" s="10">
        <v>-5</v>
      </c>
      <c r="X42" s="3">
        <v>0</v>
      </c>
      <c r="Y42" s="1" cm="1">
        <f t="array" ref="Y42:Y46">G42:G46</f>
        <v>0</v>
      </c>
      <c r="AB42" s="1" t="s">
        <v>0</v>
      </c>
      <c r="AC42" s="9">
        <v>208</v>
      </c>
      <c r="AD42" s="9"/>
      <c r="AE42" s="9"/>
      <c r="AF42" s="9"/>
      <c r="AG42" s="9">
        <v>42</v>
      </c>
      <c r="AH42" s="1">
        <f>SUM(AC42:AG42)</f>
        <v>250</v>
      </c>
      <c r="AM42" s="1" t="s">
        <v>0</v>
      </c>
      <c r="AN42" s="9">
        <v>208</v>
      </c>
      <c r="AO42" s="9"/>
      <c r="AP42" s="9"/>
      <c r="AQ42" s="9"/>
      <c r="AR42" s="9">
        <v>42</v>
      </c>
      <c r="AS42" s="1">
        <f>SUM(AN42:AR42)</f>
        <v>250</v>
      </c>
    </row>
    <row r="43" spans="1:47" ht="30" customHeight="1" x14ac:dyDescent="0.3">
      <c r="A43" s="1" t="s">
        <v>1</v>
      </c>
      <c r="B43" s="2">
        <v>3</v>
      </c>
      <c r="C43" s="2">
        <v>3</v>
      </c>
      <c r="D43" s="2"/>
      <c r="E43" s="2"/>
      <c r="F43" s="2"/>
      <c r="G43" s="1">
        <v>-1</v>
      </c>
      <c r="J43" s="1" t="s">
        <v>1</v>
      </c>
      <c r="K43" s="10">
        <v>3</v>
      </c>
      <c r="L43" s="10">
        <v>3</v>
      </c>
      <c r="M43" s="10">
        <v>6</v>
      </c>
      <c r="N43" s="10">
        <v>0</v>
      </c>
      <c r="O43" s="10">
        <v>3</v>
      </c>
      <c r="P43" s="1">
        <v>-1</v>
      </c>
      <c r="S43" s="1" t="s">
        <v>1</v>
      </c>
      <c r="T43" s="3">
        <v>0</v>
      </c>
      <c r="U43" s="3">
        <v>0</v>
      </c>
      <c r="V43" s="10">
        <v>0</v>
      </c>
      <c r="W43" s="10">
        <v>-5</v>
      </c>
      <c r="X43" s="10">
        <v>-4</v>
      </c>
      <c r="Y43" s="1">
        <v>-1</v>
      </c>
      <c r="AB43" s="1" t="s">
        <v>1</v>
      </c>
      <c r="AC43" s="9">
        <v>34</v>
      </c>
      <c r="AD43" s="9">
        <v>266</v>
      </c>
      <c r="AE43" s="9"/>
      <c r="AF43" s="9"/>
      <c r="AG43" s="9"/>
      <c r="AH43" s="1">
        <f t="shared" ref="AH43:AH46" si="14">SUM(AC43:AG43)</f>
        <v>300</v>
      </c>
      <c r="AM43" s="1" t="s">
        <v>1</v>
      </c>
      <c r="AN43" s="9">
        <v>34</v>
      </c>
      <c r="AO43" s="9">
        <v>266</v>
      </c>
      <c r="AP43" s="9"/>
      <c r="AQ43" s="9"/>
      <c r="AR43" s="9"/>
      <c r="AS43" s="1">
        <f t="shared" ref="AS43:AS46" si="15">SUM(AN43:AR43)</f>
        <v>300</v>
      </c>
    </row>
    <row r="44" spans="1:47" ht="30" customHeight="1" x14ac:dyDescent="0.3">
      <c r="A44" s="1" t="s">
        <v>2</v>
      </c>
      <c r="B44" s="2"/>
      <c r="C44" s="2"/>
      <c r="D44" s="2">
        <v>7</v>
      </c>
      <c r="E44" s="2"/>
      <c r="F44" s="2">
        <v>4</v>
      </c>
      <c r="G44" s="1">
        <v>0</v>
      </c>
      <c r="J44" s="1" t="s">
        <v>2</v>
      </c>
      <c r="K44" s="10">
        <v>4</v>
      </c>
      <c r="L44" s="10">
        <v>4</v>
      </c>
      <c r="M44" s="10">
        <v>7</v>
      </c>
      <c r="N44" s="10">
        <v>1</v>
      </c>
      <c r="O44" s="10">
        <v>4</v>
      </c>
      <c r="P44" s="1">
        <v>0</v>
      </c>
      <c r="S44" s="1" t="s">
        <v>2</v>
      </c>
      <c r="T44" s="10">
        <v>-1</v>
      </c>
      <c r="U44" s="10">
        <v>-2</v>
      </c>
      <c r="V44" s="3">
        <v>0</v>
      </c>
      <c r="W44" s="10">
        <v>-6</v>
      </c>
      <c r="X44" s="3">
        <v>0</v>
      </c>
      <c r="Y44" s="1">
        <v>0</v>
      </c>
      <c r="AB44" s="1" t="s">
        <v>2</v>
      </c>
      <c r="AC44" s="9"/>
      <c r="AD44" s="9"/>
      <c r="AE44" s="6">
        <v>278</v>
      </c>
      <c r="AF44" s="9"/>
      <c r="AG44" s="5">
        <v>72</v>
      </c>
      <c r="AH44" s="1">
        <f t="shared" si="14"/>
        <v>350</v>
      </c>
      <c r="AM44" s="1" t="s">
        <v>2</v>
      </c>
      <c r="AN44" s="9"/>
      <c r="AO44" s="9"/>
      <c r="AP44" s="9">
        <v>268</v>
      </c>
      <c r="AQ44" s="9"/>
      <c r="AR44" s="9">
        <v>82</v>
      </c>
      <c r="AS44" s="1">
        <f t="shared" si="15"/>
        <v>350</v>
      </c>
    </row>
    <row r="45" spans="1:47" ht="30" customHeight="1" x14ac:dyDescent="0.3">
      <c r="A45" s="1" t="s">
        <v>3</v>
      </c>
      <c r="B45" s="2"/>
      <c r="C45" s="2"/>
      <c r="D45" s="2"/>
      <c r="E45" s="2">
        <v>4</v>
      </c>
      <c r="F45" s="2">
        <v>7</v>
      </c>
      <c r="G45" s="1">
        <v>3</v>
      </c>
      <c r="J45" s="1" t="s">
        <v>3</v>
      </c>
      <c r="K45" s="10">
        <v>7</v>
      </c>
      <c r="L45" s="10">
        <v>7</v>
      </c>
      <c r="M45" s="10">
        <v>10</v>
      </c>
      <c r="N45" s="10">
        <v>4</v>
      </c>
      <c r="O45" s="10">
        <v>7</v>
      </c>
      <c r="P45" s="1">
        <v>3</v>
      </c>
      <c r="S45" s="1" t="s">
        <v>3</v>
      </c>
      <c r="T45" s="10">
        <v>0</v>
      </c>
      <c r="U45" s="10">
        <v>1</v>
      </c>
      <c r="V45" s="10">
        <v>6</v>
      </c>
      <c r="W45" s="3">
        <v>0</v>
      </c>
      <c r="X45" s="3">
        <v>0</v>
      </c>
      <c r="Y45" s="1">
        <v>3</v>
      </c>
      <c r="AB45" s="1" t="s">
        <v>3</v>
      </c>
      <c r="AC45" s="9"/>
      <c r="AD45" s="9"/>
      <c r="AE45" s="5"/>
      <c r="AF45" s="9">
        <v>290</v>
      </c>
      <c r="AG45" s="6">
        <v>10</v>
      </c>
      <c r="AH45" s="1">
        <f t="shared" si="14"/>
        <v>300</v>
      </c>
      <c r="AM45" s="1" t="s">
        <v>3</v>
      </c>
      <c r="AN45" s="9"/>
      <c r="AO45" s="9"/>
      <c r="AP45" s="9">
        <v>10</v>
      </c>
      <c r="AQ45" s="9">
        <v>290</v>
      </c>
      <c r="AR45" s="9"/>
      <c r="AS45" s="1">
        <f t="shared" si="15"/>
        <v>300</v>
      </c>
    </row>
    <row r="46" spans="1:47" ht="30" customHeight="1" x14ac:dyDescent="0.3">
      <c r="A46" s="1" t="s">
        <v>4</v>
      </c>
      <c r="B46" s="2"/>
      <c r="C46" s="2"/>
      <c r="D46" s="2"/>
      <c r="E46" s="2"/>
      <c r="F46" s="2">
        <v>6</v>
      </c>
      <c r="G46" s="1">
        <v>2</v>
      </c>
      <c r="J46" s="1" t="s">
        <v>4</v>
      </c>
      <c r="K46" s="10">
        <v>6</v>
      </c>
      <c r="L46" s="10">
        <v>6</v>
      </c>
      <c r="M46" s="10">
        <v>9</v>
      </c>
      <c r="N46" s="10">
        <v>3</v>
      </c>
      <c r="O46" s="10">
        <v>6</v>
      </c>
      <c r="P46" s="1">
        <v>2</v>
      </c>
      <c r="S46" s="1" t="s">
        <v>4</v>
      </c>
      <c r="T46" s="10">
        <v>0</v>
      </c>
      <c r="U46" s="10">
        <v>1</v>
      </c>
      <c r="V46" s="10">
        <v>3</v>
      </c>
      <c r="W46" s="10">
        <v>-4</v>
      </c>
      <c r="X46" s="3">
        <v>0</v>
      </c>
      <c r="Y46" s="1">
        <v>2</v>
      </c>
      <c r="AB46" s="1" t="s">
        <v>4</v>
      </c>
      <c r="AC46" s="9"/>
      <c r="AD46" s="9"/>
      <c r="AE46" s="9"/>
      <c r="AF46" s="9"/>
      <c r="AG46" s="9">
        <v>250</v>
      </c>
      <c r="AH46" s="1">
        <f t="shared" si="14"/>
        <v>250</v>
      </c>
      <c r="AM46" s="1" t="s">
        <v>4</v>
      </c>
      <c r="AN46" s="9"/>
      <c r="AO46" s="9"/>
      <c r="AP46" s="9"/>
      <c r="AQ46" s="9"/>
      <c r="AR46" s="9">
        <v>250</v>
      </c>
      <c r="AS46" s="1">
        <f t="shared" si="15"/>
        <v>250</v>
      </c>
    </row>
    <row r="47" spans="1:47" ht="30" customHeight="1" x14ac:dyDescent="0.3">
      <c r="A47" s="1" t="s">
        <v>20</v>
      </c>
      <c r="B47" s="1">
        <v>4</v>
      </c>
      <c r="C47" s="1">
        <v>4</v>
      </c>
      <c r="D47" s="1">
        <v>7</v>
      </c>
      <c r="E47" s="1">
        <v>1</v>
      </c>
      <c r="F47" s="1">
        <v>4</v>
      </c>
      <c r="J47" s="1" t="s">
        <v>20</v>
      </c>
      <c r="K47" s="1" cm="1">
        <f t="array" ref="K47:O47">B47:F47</f>
        <v>4</v>
      </c>
      <c r="L47" s="1">
        <v>4</v>
      </c>
      <c r="M47" s="1">
        <v>7</v>
      </c>
      <c r="N47" s="1">
        <v>1</v>
      </c>
      <c r="O47" s="1">
        <v>4</v>
      </c>
      <c r="S47" s="1" t="s">
        <v>20</v>
      </c>
      <c r="T47" s="1" cm="1">
        <f t="array" ref="T47:X47">B47:F47</f>
        <v>4</v>
      </c>
      <c r="U47" s="1">
        <v>4</v>
      </c>
      <c r="V47" s="1">
        <v>7</v>
      </c>
      <c r="W47" s="1">
        <v>1</v>
      </c>
      <c r="X47" s="1">
        <v>4</v>
      </c>
      <c r="AB47" s="1" t="s">
        <v>10</v>
      </c>
      <c r="AC47" s="1">
        <f>SUM(AC42:AC46)</f>
        <v>242</v>
      </c>
      <c r="AD47" s="1">
        <f t="shared" ref="AD47:AG47" si="16">SUM(AD42:AD46)</f>
        <v>266</v>
      </c>
      <c r="AE47" s="1">
        <f t="shared" si="16"/>
        <v>278</v>
      </c>
      <c r="AF47" s="1">
        <f t="shared" si="16"/>
        <v>290</v>
      </c>
      <c r="AG47" s="1">
        <f t="shared" si="16"/>
        <v>374</v>
      </c>
      <c r="AM47" s="1" t="s">
        <v>10</v>
      </c>
      <c r="AN47" s="1">
        <f>SUM(AN42:AN46)</f>
        <v>242</v>
      </c>
      <c r="AO47" s="1">
        <f t="shared" ref="AO47:AR47" si="17">SUM(AO42:AO46)</f>
        <v>266</v>
      </c>
      <c r="AP47" s="1">
        <f t="shared" si="17"/>
        <v>278</v>
      </c>
      <c r="AQ47" s="1">
        <f t="shared" si="17"/>
        <v>290</v>
      </c>
      <c r="AR47" s="1">
        <f t="shared" si="17"/>
        <v>374</v>
      </c>
    </row>
    <row r="50" spans="1:47" ht="30" customHeight="1" x14ac:dyDescent="0.3">
      <c r="A50" s="8" t="s">
        <v>18</v>
      </c>
      <c r="B50" s="8"/>
      <c r="C50" s="8"/>
      <c r="D50" s="8"/>
      <c r="E50" s="8"/>
      <c r="F50" s="8"/>
      <c r="G50" s="8"/>
      <c r="J50" s="8" t="s">
        <v>21</v>
      </c>
      <c r="K50" s="8"/>
      <c r="L50" s="8"/>
      <c r="M50" s="8"/>
      <c r="N50" s="8"/>
      <c r="O50" s="8"/>
      <c r="P50" s="8"/>
      <c r="S50" s="8" t="s">
        <v>22</v>
      </c>
      <c r="T50" s="8"/>
      <c r="U50" s="8"/>
      <c r="V50" s="8"/>
      <c r="W50" s="8"/>
      <c r="X50" s="8"/>
      <c r="Y50" s="8"/>
      <c r="AB50" s="8" t="s">
        <v>23</v>
      </c>
      <c r="AC50" s="8"/>
      <c r="AD50" s="8"/>
      <c r="AE50" s="8"/>
      <c r="AF50" s="8"/>
      <c r="AG50" s="8"/>
      <c r="AH50" s="8"/>
      <c r="AI50" s="1" cm="1">
        <f t="array" ref="AI50">SUM($B$3:$F$7*AC52:AG56)</f>
        <v>6804</v>
      </c>
      <c r="AJ50" s="1">
        <f>COUNT(AC52:AG56)</f>
        <v>9</v>
      </c>
      <c r="AM50" s="8" t="s">
        <v>24</v>
      </c>
      <c r="AN50" s="8"/>
      <c r="AO50" s="8"/>
      <c r="AP50" s="8"/>
      <c r="AQ50" s="8"/>
      <c r="AR50" s="8"/>
      <c r="AS50" s="8"/>
      <c r="AT50" s="1" cm="1">
        <f t="array" ref="AT50">SUM($B$3:$F$7*AN52:AR56)</f>
        <v>6596</v>
      </c>
      <c r="AU50" s="1">
        <f>COUNT(AN52:AR56)</f>
        <v>9</v>
      </c>
    </row>
    <row r="51" spans="1:47" ht="30" customHeight="1" x14ac:dyDescent="0.3">
      <c r="B51" s="1" t="s">
        <v>5</v>
      </c>
      <c r="C51" s="1" t="s">
        <v>6</v>
      </c>
      <c r="D51" s="1" t="s">
        <v>7</v>
      </c>
      <c r="E51" s="1" t="s">
        <v>8</v>
      </c>
      <c r="F51" s="1" t="s">
        <v>9</v>
      </c>
      <c r="G51" s="1" t="s">
        <v>19</v>
      </c>
      <c r="K51" s="1" t="s">
        <v>5</v>
      </c>
      <c r="L51" s="1" t="s">
        <v>6</v>
      </c>
      <c r="M51" s="1" t="s">
        <v>7</v>
      </c>
      <c r="N51" s="1" t="s">
        <v>8</v>
      </c>
      <c r="O51" s="1" t="s">
        <v>9</v>
      </c>
      <c r="P51" s="1" t="s">
        <v>19</v>
      </c>
      <c r="T51" s="1" t="s">
        <v>5</v>
      </c>
      <c r="U51" s="1" t="s">
        <v>6</v>
      </c>
      <c r="V51" s="1" t="s">
        <v>7</v>
      </c>
      <c r="W51" s="1" t="s">
        <v>8</v>
      </c>
      <c r="X51" s="1" t="s">
        <v>9</v>
      </c>
      <c r="Y51" s="1" t="s">
        <v>19</v>
      </c>
      <c r="AC51" s="1" t="s">
        <v>5</v>
      </c>
      <c r="AD51" s="1" t="s">
        <v>6</v>
      </c>
      <c r="AE51" s="1" t="s">
        <v>7</v>
      </c>
      <c r="AF51" s="1" t="s">
        <v>8</v>
      </c>
      <c r="AG51" s="1" t="s">
        <v>9</v>
      </c>
      <c r="AH51" s="1" t="s">
        <v>11</v>
      </c>
      <c r="AN51" s="1" t="s">
        <v>5</v>
      </c>
      <c r="AO51" s="1" t="s">
        <v>6</v>
      </c>
      <c r="AP51" s="1" t="s">
        <v>7</v>
      </c>
      <c r="AQ51" s="1" t="s">
        <v>8</v>
      </c>
      <c r="AR51" s="1" t="s">
        <v>9</v>
      </c>
      <c r="AS51" s="1" t="s">
        <v>11</v>
      </c>
    </row>
    <row r="52" spans="1:47" ht="30" customHeight="1" x14ac:dyDescent="0.3">
      <c r="A52" s="1" t="s">
        <v>0</v>
      </c>
      <c r="B52" s="2">
        <v>4</v>
      </c>
      <c r="C52" s="2"/>
      <c r="D52" s="2"/>
      <c r="E52" s="2"/>
      <c r="F52" s="2">
        <v>4</v>
      </c>
      <c r="G52" s="1">
        <v>0</v>
      </c>
      <c r="J52" s="1" t="s">
        <v>0</v>
      </c>
      <c r="K52" s="4" cm="1">
        <f t="array" ref="K52:O56">_xlfn.ANCHORARRAY(K57)+_xlfn.ANCHORARRAY(P52)</f>
        <v>4</v>
      </c>
      <c r="L52" s="10">
        <v>4</v>
      </c>
      <c r="M52" s="10">
        <v>3</v>
      </c>
      <c r="N52" s="10">
        <v>3</v>
      </c>
      <c r="O52" s="10">
        <v>4</v>
      </c>
      <c r="P52" s="1" cm="1">
        <f t="array" ref="P52:P56">G52:G56</f>
        <v>0</v>
      </c>
      <c r="S52" s="1" t="s">
        <v>0</v>
      </c>
      <c r="T52" s="3" cm="1">
        <f t="array" ref="T52:X56">K52:O56-$B$3:$F$7</f>
        <v>0</v>
      </c>
      <c r="U52" s="10">
        <v>-1</v>
      </c>
      <c r="V52" s="10">
        <v>-3</v>
      </c>
      <c r="W52" s="10">
        <v>-3</v>
      </c>
      <c r="X52" s="3">
        <v>0</v>
      </c>
      <c r="Y52" s="1" cm="1">
        <f t="array" ref="Y52:Y56">G52:G56</f>
        <v>0</v>
      </c>
      <c r="AB52" s="1" t="s">
        <v>0</v>
      </c>
      <c r="AC52" s="6">
        <v>208</v>
      </c>
      <c r="AD52" s="9"/>
      <c r="AE52" s="9"/>
      <c r="AF52" s="9"/>
      <c r="AG52" s="5">
        <v>42</v>
      </c>
      <c r="AH52" s="1">
        <f>SUM(AC52:AG52)</f>
        <v>250</v>
      </c>
      <c r="AM52" s="1" t="s">
        <v>0</v>
      </c>
      <c r="AN52" s="9"/>
      <c r="AO52" s="9"/>
      <c r="AP52" s="9"/>
      <c r="AQ52" s="9"/>
      <c r="AR52" s="9">
        <v>250</v>
      </c>
      <c r="AS52" s="1">
        <f>SUM(AN52:AR52)</f>
        <v>250</v>
      </c>
    </row>
    <row r="53" spans="1:47" ht="30" customHeight="1" x14ac:dyDescent="0.3">
      <c r="A53" s="1" t="s">
        <v>1</v>
      </c>
      <c r="B53" s="2">
        <v>3</v>
      </c>
      <c r="C53" s="2">
        <v>3</v>
      </c>
      <c r="D53" s="2"/>
      <c r="E53" s="2"/>
      <c r="F53" s="2"/>
      <c r="G53" s="1">
        <v>-1</v>
      </c>
      <c r="J53" s="1" t="s">
        <v>1</v>
      </c>
      <c r="K53" s="10">
        <v>3</v>
      </c>
      <c r="L53" s="10">
        <v>3</v>
      </c>
      <c r="M53" s="10">
        <v>2</v>
      </c>
      <c r="N53" s="10">
        <v>2</v>
      </c>
      <c r="O53" s="10">
        <v>3</v>
      </c>
      <c r="P53" s="1">
        <v>-1</v>
      </c>
      <c r="S53" s="1" t="s">
        <v>1</v>
      </c>
      <c r="T53" s="3">
        <v>0</v>
      </c>
      <c r="U53" s="3">
        <v>0</v>
      </c>
      <c r="V53" s="10">
        <v>-4</v>
      </c>
      <c r="W53" s="10">
        <v>-3</v>
      </c>
      <c r="X53" s="10">
        <v>-4</v>
      </c>
      <c r="Y53" s="1">
        <v>-1</v>
      </c>
      <c r="AB53" s="1" t="s">
        <v>1</v>
      </c>
      <c r="AC53" s="5">
        <v>34</v>
      </c>
      <c r="AD53" s="6">
        <v>266</v>
      </c>
      <c r="AE53" s="9"/>
      <c r="AF53" s="9"/>
      <c r="AG53" s="9"/>
      <c r="AH53" s="1">
        <f t="shared" ref="AH53:AH56" si="18">SUM(AC53:AG53)</f>
        <v>300</v>
      </c>
      <c r="AM53" s="1" t="s">
        <v>1</v>
      </c>
      <c r="AN53" s="9">
        <v>242</v>
      </c>
      <c r="AO53" s="9">
        <v>58</v>
      </c>
      <c r="AP53" s="9"/>
      <c r="AQ53" s="9"/>
      <c r="AR53" s="9"/>
      <c r="AS53" s="1">
        <f t="shared" ref="AS53:AS56" si="19">SUM(AN53:AR53)</f>
        <v>300</v>
      </c>
    </row>
    <row r="54" spans="1:47" ht="30" customHeight="1" x14ac:dyDescent="0.3">
      <c r="A54" s="1" t="s">
        <v>2</v>
      </c>
      <c r="B54" s="2"/>
      <c r="C54" s="2"/>
      <c r="D54" s="2">
        <v>7</v>
      </c>
      <c r="E54" s="2"/>
      <c r="F54" s="2">
        <v>4</v>
      </c>
      <c r="G54" s="1">
        <v>0</v>
      </c>
      <c r="J54" s="1" t="s">
        <v>2</v>
      </c>
      <c r="K54" s="10">
        <v>4</v>
      </c>
      <c r="L54" s="10">
        <v>4</v>
      </c>
      <c r="M54" s="10">
        <v>3</v>
      </c>
      <c r="N54" s="10">
        <v>3</v>
      </c>
      <c r="O54" s="10">
        <v>4</v>
      </c>
      <c r="P54" s="1">
        <v>0</v>
      </c>
      <c r="S54" s="1" t="s">
        <v>2</v>
      </c>
      <c r="T54" s="10">
        <v>-1</v>
      </c>
      <c r="U54" s="10">
        <v>-2</v>
      </c>
      <c r="V54" s="3">
        <v>-4</v>
      </c>
      <c r="W54" s="10">
        <v>-4</v>
      </c>
      <c r="X54" s="3">
        <v>0</v>
      </c>
      <c r="Y54" s="1">
        <v>0</v>
      </c>
      <c r="AB54" s="1" t="s">
        <v>2</v>
      </c>
      <c r="AC54" s="9"/>
      <c r="AD54" s="9"/>
      <c r="AE54" s="9">
        <v>268</v>
      </c>
      <c r="AF54" s="9"/>
      <c r="AG54" s="9">
        <v>82</v>
      </c>
      <c r="AH54" s="1">
        <f t="shared" si="18"/>
        <v>350</v>
      </c>
      <c r="AM54" s="1" t="s">
        <v>2</v>
      </c>
      <c r="AN54" s="9"/>
      <c r="AO54" s="9"/>
      <c r="AP54" s="9">
        <v>268</v>
      </c>
      <c r="AQ54" s="9"/>
      <c r="AR54" s="9">
        <v>82</v>
      </c>
      <c r="AS54" s="1">
        <f t="shared" si="19"/>
        <v>350</v>
      </c>
    </row>
    <row r="55" spans="1:47" ht="30" customHeight="1" x14ac:dyDescent="0.3">
      <c r="A55" s="1" t="s">
        <v>3</v>
      </c>
      <c r="B55" s="2"/>
      <c r="C55" s="2"/>
      <c r="D55" s="2">
        <v>4</v>
      </c>
      <c r="E55" s="2">
        <v>4</v>
      </c>
      <c r="F55" s="2"/>
      <c r="G55" s="1">
        <v>1</v>
      </c>
      <c r="J55" s="1" t="s">
        <v>3</v>
      </c>
      <c r="K55" s="10">
        <v>5</v>
      </c>
      <c r="L55" s="10">
        <v>5</v>
      </c>
      <c r="M55" s="10">
        <v>4</v>
      </c>
      <c r="N55" s="10">
        <v>4</v>
      </c>
      <c r="O55" s="10">
        <v>5</v>
      </c>
      <c r="P55" s="1">
        <v>1</v>
      </c>
      <c r="S55" s="1" t="s">
        <v>3</v>
      </c>
      <c r="T55" s="10">
        <v>-2</v>
      </c>
      <c r="U55" s="10">
        <v>-1</v>
      </c>
      <c r="V55" s="3">
        <v>0</v>
      </c>
      <c r="W55" s="3">
        <v>0</v>
      </c>
      <c r="X55" s="10">
        <v>-2</v>
      </c>
      <c r="Y55" s="1">
        <v>1</v>
      </c>
      <c r="AB55" s="1" t="s">
        <v>3</v>
      </c>
      <c r="AC55" s="9"/>
      <c r="AD55" s="9"/>
      <c r="AE55" s="9">
        <v>10</v>
      </c>
      <c r="AF55" s="9">
        <v>290</v>
      </c>
      <c r="AG55" s="9"/>
      <c r="AH55" s="1">
        <f t="shared" si="18"/>
        <v>300</v>
      </c>
      <c r="AM55" s="1" t="s">
        <v>3</v>
      </c>
      <c r="AN55" s="9"/>
      <c r="AO55" s="9"/>
      <c r="AP55" s="9">
        <v>10</v>
      </c>
      <c r="AQ55" s="9">
        <v>290</v>
      </c>
      <c r="AR55" s="9"/>
      <c r="AS55" s="1">
        <f t="shared" si="19"/>
        <v>300</v>
      </c>
    </row>
    <row r="56" spans="1:47" ht="30" customHeight="1" x14ac:dyDescent="0.3">
      <c r="A56" s="1" t="s">
        <v>4</v>
      </c>
      <c r="B56" s="2"/>
      <c r="C56" s="2"/>
      <c r="D56" s="2"/>
      <c r="E56" s="2"/>
      <c r="F56" s="2">
        <v>6</v>
      </c>
      <c r="G56" s="1">
        <v>2</v>
      </c>
      <c r="J56" s="1" t="s">
        <v>4</v>
      </c>
      <c r="K56" s="10">
        <v>6</v>
      </c>
      <c r="L56" s="10">
        <v>6</v>
      </c>
      <c r="M56" s="10">
        <v>5</v>
      </c>
      <c r="N56" s="10">
        <v>5</v>
      </c>
      <c r="O56" s="10">
        <v>6</v>
      </c>
      <c r="P56" s="1">
        <v>2</v>
      </c>
      <c r="S56" s="1" t="s">
        <v>4</v>
      </c>
      <c r="T56" s="10">
        <v>0</v>
      </c>
      <c r="U56" s="10">
        <v>1</v>
      </c>
      <c r="V56" s="10">
        <v>-1</v>
      </c>
      <c r="W56" s="10">
        <v>-2</v>
      </c>
      <c r="X56" s="3">
        <v>0</v>
      </c>
      <c r="Y56" s="1">
        <v>2</v>
      </c>
      <c r="AB56" s="1" t="s">
        <v>4</v>
      </c>
      <c r="AC56" s="9"/>
      <c r="AD56" s="5"/>
      <c r="AE56" s="9"/>
      <c r="AF56" s="9"/>
      <c r="AG56" s="6">
        <v>250</v>
      </c>
      <c r="AH56" s="1">
        <f t="shared" si="18"/>
        <v>250</v>
      </c>
      <c r="AM56" s="1" t="s">
        <v>4</v>
      </c>
      <c r="AN56" s="9"/>
      <c r="AO56" s="9">
        <v>208</v>
      </c>
      <c r="AP56" s="9"/>
      <c r="AQ56" s="9"/>
      <c r="AR56" s="9">
        <v>42</v>
      </c>
      <c r="AS56" s="1">
        <f t="shared" si="19"/>
        <v>250</v>
      </c>
    </row>
    <row r="57" spans="1:47" ht="30" customHeight="1" x14ac:dyDescent="0.3">
      <c r="A57" s="1" t="s">
        <v>20</v>
      </c>
      <c r="B57" s="1">
        <v>4</v>
      </c>
      <c r="C57" s="1">
        <v>4</v>
      </c>
      <c r="D57" s="1">
        <v>3</v>
      </c>
      <c r="E57" s="1">
        <v>3</v>
      </c>
      <c r="F57" s="1">
        <v>4</v>
      </c>
      <c r="J57" s="1" t="s">
        <v>20</v>
      </c>
      <c r="K57" s="1" cm="1">
        <f t="array" ref="K57:O57">B57:F57</f>
        <v>4</v>
      </c>
      <c r="L57" s="1">
        <v>4</v>
      </c>
      <c r="M57" s="1">
        <v>3</v>
      </c>
      <c r="N57" s="1">
        <v>3</v>
      </c>
      <c r="O57" s="1">
        <v>4</v>
      </c>
      <c r="S57" s="1" t="s">
        <v>20</v>
      </c>
      <c r="T57" s="1" cm="1">
        <f t="array" ref="T57:X57">B57:F57</f>
        <v>4</v>
      </c>
      <c r="U57" s="1">
        <v>4</v>
      </c>
      <c r="V57" s="1">
        <v>3</v>
      </c>
      <c r="W57" s="1">
        <v>3</v>
      </c>
      <c r="X57" s="1">
        <v>4</v>
      </c>
      <c r="AB57" s="1" t="s">
        <v>10</v>
      </c>
      <c r="AC57" s="1">
        <f>SUM(AC52:AC56)</f>
        <v>242</v>
      </c>
      <c r="AD57" s="1">
        <f t="shared" ref="AD57:AG57" si="20">SUM(AD52:AD56)</f>
        <v>266</v>
      </c>
      <c r="AE57" s="1">
        <f t="shared" si="20"/>
        <v>278</v>
      </c>
      <c r="AF57" s="1">
        <f t="shared" si="20"/>
        <v>290</v>
      </c>
      <c r="AG57" s="1">
        <f t="shared" si="20"/>
        <v>374</v>
      </c>
      <c r="AM57" s="1" t="s">
        <v>10</v>
      </c>
      <c r="AN57" s="1">
        <f>SUM(AN52:AN56)</f>
        <v>242</v>
      </c>
      <c r="AO57" s="1">
        <f t="shared" ref="AO57:AR57" si="21">SUM(AO52:AO56)</f>
        <v>266</v>
      </c>
      <c r="AP57" s="1">
        <f t="shared" si="21"/>
        <v>278</v>
      </c>
      <c r="AQ57" s="1">
        <f t="shared" si="21"/>
        <v>290</v>
      </c>
      <c r="AR57" s="1">
        <f t="shared" si="21"/>
        <v>374</v>
      </c>
    </row>
    <row r="60" spans="1:47" ht="30" customHeight="1" x14ac:dyDescent="0.3">
      <c r="A60" s="8" t="s">
        <v>18</v>
      </c>
      <c r="B60" s="8"/>
      <c r="C60" s="8"/>
      <c r="D60" s="8"/>
      <c r="E60" s="8"/>
      <c r="F60" s="8"/>
      <c r="G60" s="8"/>
      <c r="J60" s="8" t="s">
        <v>21</v>
      </c>
      <c r="K60" s="8"/>
      <c r="L60" s="8"/>
      <c r="M60" s="8"/>
      <c r="N60" s="8"/>
      <c r="O60" s="8"/>
      <c r="P60" s="8"/>
      <c r="S60" s="8" t="s">
        <v>22</v>
      </c>
      <c r="T60" s="8"/>
      <c r="U60" s="8"/>
      <c r="V60" s="8"/>
      <c r="W60" s="8"/>
      <c r="X60" s="8"/>
      <c r="Y60" s="8"/>
      <c r="AB60" s="8" t="s">
        <v>23</v>
      </c>
      <c r="AC60" s="8"/>
      <c r="AD60" s="8"/>
      <c r="AE60" s="8"/>
      <c r="AF60" s="8"/>
      <c r="AG60" s="8"/>
      <c r="AH60" s="8"/>
      <c r="AI60" s="1" cm="1">
        <f t="array" ref="AI60">SUM($B$3:$F$7*AC62:AG66)</f>
        <v>6596</v>
      </c>
      <c r="AJ60" s="1">
        <f>COUNT(AC62:AG66)</f>
        <v>9</v>
      </c>
      <c r="AM60" s="8" t="s">
        <v>24</v>
      </c>
      <c r="AN60" s="8"/>
      <c r="AO60" s="8"/>
      <c r="AP60" s="8"/>
      <c r="AQ60" s="8"/>
      <c r="AR60" s="8"/>
      <c r="AS60" s="8"/>
      <c r="AT60" s="1" cm="1">
        <f t="array" ref="AT60">SUM($B$3:$F$7*AN62:AR66)</f>
        <v>6470</v>
      </c>
      <c r="AU60" s="1">
        <f>COUNT(AN62:AR66)</f>
        <v>9</v>
      </c>
    </row>
    <row r="61" spans="1:47" ht="30" customHeight="1" x14ac:dyDescent="0.3">
      <c r="B61" s="1" t="s">
        <v>5</v>
      </c>
      <c r="C61" s="1" t="s">
        <v>6</v>
      </c>
      <c r="D61" s="1" t="s">
        <v>7</v>
      </c>
      <c r="E61" s="1" t="s">
        <v>8</v>
      </c>
      <c r="F61" s="1" t="s">
        <v>9</v>
      </c>
      <c r="G61" s="1" t="s">
        <v>19</v>
      </c>
      <c r="K61" s="1" t="s">
        <v>5</v>
      </c>
      <c r="L61" s="1" t="s">
        <v>6</v>
      </c>
      <c r="M61" s="1" t="s">
        <v>7</v>
      </c>
      <c r="N61" s="1" t="s">
        <v>8</v>
      </c>
      <c r="O61" s="1" t="s">
        <v>9</v>
      </c>
      <c r="P61" s="1" t="s">
        <v>19</v>
      </c>
      <c r="T61" s="1" t="s">
        <v>5</v>
      </c>
      <c r="U61" s="1" t="s">
        <v>6</v>
      </c>
      <c r="V61" s="1" t="s">
        <v>7</v>
      </c>
      <c r="W61" s="1" t="s">
        <v>8</v>
      </c>
      <c r="X61" s="1" t="s">
        <v>9</v>
      </c>
      <c r="Y61" s="1" t="s">
        <v>19</v>
      </c>
      <c r="AC61" s="1" t="s">
        <v>5</v>
      </c>
      <c r="AD61" s="1" t="s">
        <v>6</v>
      </c>
      <c r="AE61" s="1" t="s">
        <v>7</v>
      </c>
      <c r="AF61" s="1" t="s">
        <v>8</v>
      </c>
      <c r="AG61" s="1" t="s">
        <v>9</v>
      </c>
      <c r="AH61" s="1" t="s">
        <v>11</v>
      </c>
      <c r="AN61" s="1" t="s">
        <v>5</v>
      </c>
      <c r="AO61" s="1" t="s">
        <v>6</v>
      </c>
      <c r="AP61" s="1" t="s">
        <v>7</v>
      </c>
      <c r="AQ61" s="1" t="s">
        <v>8</v>
      </c>
      <c r="AR61" s="1" t="s">
        <v>9</v>
      </c>
      <c r="AS61" s="1" t="s">
        <v>11</v>
      </c>
    </row>
    <row r="62" spans="1:47" ht="30" customHeight="1" x14ac:dyDescent="0.3">
      <c r="A62" s="1" t="s">
        <v>0</v>
      </c>
      <c r="B62" s="2"/>
      <c r="C62" s="2"/>
      <c r="D62" s="2"/>
      <c r="E62" s="2"/>
      <c r="F62" s="2">
        <v>4</v>
      </c>
      <c r="G62" s="1">
        <v>0</v>
      </c>
      <c r="J62" s="1" t="s">
        <v>0</v>
      </c>
      <c r="K62" s="4" cm="1">
        <f t="array" ref="K62:O66">_xlfn.ANCHORARRAY(K67)+_xlfn.ANCHORARRAY(P62)</f>
        <v>3</v>
      </c>
      <c r="L62" s="10">
        <v>3</v>
      </c>
      <c r="M62" s="10">
        <v>7</v>
      </c>
      <c r="N62" s="10">
        <v>7</v>
      </c>
      <c r="O62" s="10">
        <v>4</v>
      </c>
      <c r="P62" s="1" cm="1">
        <f t="array" ref="P62:P66">G62:G66</f>
        <v>0</v>
      </c>
      <c r="S62" s="1" t="s">
        <v>0</v>
      </c>
      <c r="T62" s="10" cm="1">
        <f t="array" ref="T62:X66">K62:O66-$B$3:$F$7</f>
        <v>-1</v>
      </c>
      <c r="U62" s="10">
        <v>-2</v>
      </c>
      <c r="V62" s="10">
        <v>1</v>
      </c>
      <c r="W62" s="10">
        <v>1</v>
      </c>
      <c r="X62" s="3">
        <v>0</v>
      </c>
      <c r="Y62" s="1" cm="1">
        <f t="array" ref="Y62:Y66">G62:G66</f>
        <v>0</v>
      </c>
      <c r="AB62" s="1" t="s">
        <v>0</v>
      </c>
      <c r="AC62" s="9"/>
      <c r="AD62" s="9"/>
      <c r="AE62" s="9"/>
      <c r="AF62" s="9"/>
      <c r="AG62" s="9">
        <v>250</v>
      </c>
      <c r="AH62" s="1">
        <f>SUM(AC62:AG62)</f>
        <v>250</v>
      </c>
      <c r="AM62" s="1" t="s">
        <v>0</v>
      </c>
      <c r="AN62" s="9"/>
      <c r="AO62" s="9"/>
      <c r="AP62" s="9"/>
      <c r="AQ62" s="9"/>
      <c r="AR62" s="9">
        <v>250</v>
      </c>
      <c r="AS62" s="1">
        <f>SUM(AN62:AR62)</f>
        <v>250</v>
      </c>
    </row>
    <row r="63" spans="1:47" ht="30" customHeight="1" x14ac:dyDescent="0.3">
      <c r="A63" s="1" t="s">
        <v>1</v>
      </c>
      <c r="B63" s="2">
        <v>3</v>
      </c>
      <c r="C63" s="2">
        <v>3</v>
      </c>
      <c r="D63" s="2"/>
      <c r="E63" s="2"/>
      <c r="F63" s="2"/>
      <c r="G63" s="1">
        <v>0</v>
      </c>
      <c r="J63" s="1" t="s">
        <v>1</v>
      </c>
      <c r="K63" s="10">
        <v>3</v>
      </c>
      <c r="L63" s="10">
        <v>3</v>
      </c>
      <c r="M63" s="10">
        <v>7</v>
      </c>
      <c r="N63" s="10">
        <v>7</v>
      </c>
      <c r="O63" s="10">
        <v>4</v>
      </c>
      <c r="P63" s="1">
        <v>0</v>
      </c>
      <c r="S63" s="1" t="s">
        <v>1</v>
      </c>
      <c r="T63" s="3">
        <v>0</v>
      </c>
      <c r="U63" s="3">
        <v>0</v>
      </c>
      <c r="V63" s="10">
        <v>1</v>
      </c>
      <c r="W63" s="10">
        <v>2</v>
      </c>
      <c r="X63" s="10">
        <v>-3</v>
      </c>
      <c r="Y63" s="1">
        <v>0</v>
      </c>
      <c r="AB63" s="1" t="s">
        <v>1</v>
      </c>
      <c r="AC63" s="9">
        <v>242</v>
      </c>
      <c r="AD63" s="9">
        <v>58</v>
      </c>
      <c r="AE63" s="9"/>
      <c r="AF63" s="9"/>
      <c r="AG63" s="9"/>
      <c r="AH63" s="1">
        <f t="shared" ref="AH63:AH66" si="22">SUM(AC63:AG63)</f>
        <v>300</v>
      </c>
      <c r="AM63" s="1" t="s">
        <v>1</v>
      </c>
      <c r="AN63" s="9">
        <v>242</v>
      </c>
      <c r="AO63" s="9">
        <v>58</v>
      </c>
      <c r="AP63" s="9"/>
      <c r="AQ63" s="9"/>
      <c r="AR63" s="9"/>
      <c r="AS63" s="1">
        <f t="shared" ref="AS63:AS66" si="23">SUM(AN63:AR63)</f>
        <v>300</v>
      </c>
    </row>
    <row r="64" spans="1:47" ht="30" customHeight="1" x14ac:dyDescent="0.3">
      <c r="A64" s="1" t="s">
        <v>2</v>
      </c>
      <c r="B64" s="2"/>
      <c r="C64" s="2"/>
      <c r="D64" s="2">
        <v>7</v>
      </c>
      <c r="E64" s="2"/>
      <c r="F64" s="2">
        <v>4</v>
      </c>
      <c r="G64" s="1">
        <v>0</v>
      </c>
      <c r="J64" s="1" t="s">
        <v>2</v>
      </c>
      <c r="K64" s="10">
        <v>3</v>
      </c>
      <c r="L64" s="10">
        <v>3</v>
      </c>
      <c r="M64" s="10">
        <v>7</v>
      </c>
      <c r="N64" s="10">
        <v>7</v>
      </c>
      <c r="O64" s="10">
        <v>4</v>
      </c>
      <c r="P64" s="1">
        <v>0</v>
      </c>
      <c r="S64" s="1" t="s">
        <v>2</v>
      </c>
      <c r="T64" s="10">
        <v>-2</v>
      </c>
      <c r="U64" s="10">
        <v>-3</v>
      </c>
      <c r="V64" s="3">
        <v>0</v>
      </c>
      <c r="W64" s="10">
        <v>0</v>
      </c>
      <c r="X64" s="3">
        <v>0</v>
      </c>
      <c r="Y64" s="1">
        <v>0</v>
      </c>
      <c r="AB64" s="1" t="s">
        <v>2</v>
      </c>
      <c r="AC64" s="9"/>
      <c r="AD64" s="9"/>
      <c r="AE64" s="6">
        <v>268</v>
      </c>
      <c r="AF64" s="9"/>
      <c r="AG64" s="5">
        <v>82</v>
      </c>
      <c r="AH64" s="1">
        <f t="shared" si="22"/>
        <v>350</v>
      </c>
      <c r="AM64" s="1" t="s">
        <v>2</v>
      </c>
      <c r="AN64" s="9"/>
      <c r="AO64" s="9"/>
      <c r="AP64" s="9">
        <v>226</v>
      </c>
      <c r="AQ64" s="9"/>
      <c r="AR64" s="9">
        <v>124</v>
      </c>
      <c r="AS64" s="1">
        <f t="shared" si="23"/>
        <v>350</v>
      </c>
    </row>
    <row r="65" spans="1:47" ht="30" customHeight="1" x14ac:dyDescent="0.3">
      <c r="A65" s="1" t="s">
        <v>3</v>
      </c>
      <c r="B65" s="2"/>
      <c r="C65" s="2"/>
      <c r="D65" s="2">
        <v>4</v>
      </c>
      <c r="E65" s="2">
        <v>4</v>
      </c>
      <c r="F65" s="2"/>
      <c r="G65" s="1">
        <v>-3</v>
      </c>
      <c r="J65" s="1" t="s">
        <v>3</v>
      </c>
      <c r="K65" s="10">
        <v>0</v>
      </c>
      <c r="L65" s="10">
        <v>0</v>
      </c>
      <c r="M65" s="10">
        <v>4</v>
      </c>
      <c r="N65" s="10">
        <v>4</v>
      </c>
      <c r="O65" s="10">
        <v>1</v>
      </c>
      <c r="P65" s="1">
        <v>-3</v>
      </c>
      <c r="S65" s="1" t="s">
        <v>3</v>
      </c>
      <c r="T65" s="10">
        <v>-7</v>
      </c>
      <c r="U65" s="10">
        <v>-6</v>
      </c>
      <c r="V65" s="3">
        <v>0</v>
      </c>
      <c r="W65" s="3">
        <v>0</v>
      </c>
      <c r="X65" s="10">
        <v>-6</v>
      </c>
      <c r="Y65" s="1">
        <v>-3</v>
      </c>
      <c r="AB65" s="1" t="s">
        <v>3</v>
      </c>
      <c r="AC65" s="9"/>
      <c r="AD65" s="9"/>
      <c r="AE65" s="9">
        <v>10</v>
      </c>
      <c r="AF65" s="9">
        <v>290</v>
      </c>
      <c r="AG65" s="9"/>
      <c r="AH65" s="1">
        <f t="shared" si="22"/>
        <v>300</v>
      </c>
      <c r="AM65" s="1" t="s">
        <v>3</v>
      </c>
      <c r="AN65" s="9"/>
      <c r="AO65" s="9"/>
      <c r="AP65" s="9">
        <v>10</v>
      </c>
      <c r="AQ65" s="9">
        <v>290</v>
      </c>
      <c r="AR65" s="9"/>
      <c r="AS65" s="1">
        <f t="shared" si="23"/>
        <v>300</v>
      </c>
    </row>
    <row r="66" spans="1:47" ht="30" customHeight="1" x14ac:dyDescent="0.3">
      <c r="A66" s="1" t="s">
        <v>4</v>
      </c>
      <c r="B66" s="2"/>
      <c r="C66" s="2">
        <v>5</v>
      </c>
      <c r="D66" s="2"/>
      <c r="E66" s="2"/>
      <c r="F66" s="2">
        <v>6</v>
      </c>
      <c r="G66" s="1">
        <v>2</v>
      </c>
      <c r="J66" s="1" t="s">
        <v>4</v>
      </c>
      <c r="K66" s="10">
        <v>5</v>
      </c>
      <c r="L66" s="10">
        <v>5</v>
      </c>
      <c r="M66" s="10">
        <v>9</v>
      </c>
      <c r="N66" s="10">
        <v>9</v>
      </c>
      <c r="O66" s="10">
        <v>6</v>
      </c>
      <c r="P66" s="1">
        <v>2</v>
      </c>
      <c r="S66" s="1" t="s">
        <v>4</v>
      </c>
      <c r="T66" s="10">
        <v>-1</v>
      </c>
      <c r="U66" s="3">
        <v>0</v>
      </c>
      <c r="V66" s="10">
        <v>3</v>
      </c>
      <c r="W66" s="10">
        <v>2</v>
      </c>
      <c r="X66" s="3">
        <v>0</v>
      </c>
      <c r="Y66" s="1">
        <v>2</v>
      </c>
      <c r="AB66" s="1" t="s">
        <v>4</v>
      </c>
      <c r="AC66" s="9"/>
      <c r="AD66" s="9">
        <v>208</v>
      </c>
      <c r="AE66" s="5"/>
      <c r="AF66" s="9"/>
      <c r="AG66" s="6">
        <v>42</v>
      </c>
      <c r="AH66" s="1">
        <f t="shared" si="22"/>
        <v>250</v>
      </c>
      <c r="AM66" s="1" t="s">
        <v>4</v>
      </c>
      <c r="AN66" s="9"/>
      <c r="AO66" s="9">
        <v>208</v>
      </c>
      <c r="AP66" s="9">
        <v>42</v>
      </c>
      <c r="AQ66" s="9"/>
      <c r="AR66" s="9"/>
      <c r="AS66" s="1">
        <f t="shared" si="23"/>
        <v>250</v>
      </c>
    </row>
    <row r="67" spans="1:47" ht="30" customHeight="1" x14ac:dyDescent="0.3">
      <c r="A67" s="1" t="s">
        <v>20</v>
      </c>
      <c r="B67" s="1">
        <v>3</v>
      </c>
      <c r="C67" s="1">
        <v>3</v>
      </c>
      <c r="D67" s="1">
        <v>7</v>
      </c>
      <c r="E67" s="1">
        <v>7</v>
      </c>
      <c r="F67" s="1">
        <v>4</v>
      </c>
      <c r="J67" s="1" t="s">
        <v>20</v>
      </c>
      <c r="K67" s="1" cm="1">
        <f t="array" ref="K67:O67">B67:F67</f>
        <v>3</v>
      </c>
      <c r="L67" s="1">
        <v>3</v>
      </c>
      <c r="M67" s="1">
        <v>7</v>
      </c>
      <c r="N67" s="1">
        <v>7</v>
      </c>
      <c r="O67" s="1">
        <v>4</v>
      </c>
      <c r="S67" s="1" t="s">
        <v>20</v>
      </c>
      <c r="T67" s="1" cm="1">
        <f t="array" ref="T67:X67">B67:F67</f>
        <v>3</v>
      </c>
      <c r="U67" s="1">
        <v>3</v>
      </c>
      <c r="V67" s="1">
        <v>7</v>
      </c>
      <c r="W67" s="1">
        <v>7</v>
      </c>
      <c r="X67" s="1">
        <v>4</v>
      </c>
      <c r="AB67" s="1" t="s">
        <v>10</v>
      </c>
      <c r="AC67" s="1">
        <f>SUM(AC62:AC66)</f>
        <v>242</v>
      </c>
      <c r="AD67" s="1">
        <f t="shared" ref="AD67:AG67" si="24">SUM(AD62:AD66)</f>
        <v>266</v>
      </c>
      <c r="AE67" s="1">
        <f t="shared" si="24"/>
        <v>278</v>
      </c>
      <c r="AF67" s="1">
        <f t="shared" si="24"/>
        <v>290</v>
      </c>
      <c r="AG67" s="1">
        <f t="shared" si="24"/>
        <v>374</v>
      </c>
      <c r="AM67" s="1" t="s">
        <v>10</v>
      </c>
      <c r="AN67" s="1">
        <f>SUM(AN62:AN66)</f>
        <v>242</v>
      </c>
      <c r="AO67" s="1">
        <f t="shared" ref="AO67:AR67" si="25">SUM(AO62:AO66)</f>
        <v>266</v>
      </c>
      <c r="AP67" s="1">
        <f t="shared" si="25"/>
        <v>278</v>
      </c>
      <c r="AQ67" s="1">
        <f t="shared" si="25"/>
        <v>290</v>
      </c>
      <c r="AR67" s="1">
        <f t="shared" si="25"/>
        <v>374</v>
      </c>
    </row>
    <row r="70" spans="1:47" ht="30" customHeight="1" x14ac:dyDescent="0.3">
      <c r="A70" s="8" t="s">
        <v>18</v>
      </c>
      <c r="B70" s="8"/>
      <c r="C70" s="8"/>
      <c r="D70" s="8"/>
      <c r="E70" s="8"/>
      <c r="F70" s="8"/>
      <c r="G70" s="8"/>
      <c r="J70" s="8" t="s">
        <v>21</v>
      </c>
      <c r="K70" s="8"/>
      <c r="L70" s="8"/>
      <c r="M70" s="8"/>
      <c r="N70" s="8"/>
      <c r="O70" s="8"/>
      <c r="P70" s="8"/>
      <c r="S70" s="8" t="s">
        <v>22</v>
      </c>
      <c r="T70" s="8"/>
      <c r="U70" s="8"/>
      <c r="V70" s="8"/>
      <c r="W70" s="8"/>
      <c r="X70" s="8"/>
      <c r="Y70" s="8"/>
      <c r="AB70" s="8" t="s">
        <v>23</v>
      </c>
      <c r="AC70" s="8"/>
      <c r="AD70" s="8"/>
      <c r="AE70" s="8"/>
      <c r="AF70" s="8"/>
      <c r="AG70" s="8"/>
      <c r="AH70" s="8"/>
      <c r="AI70" s="1" cm="1">
        <f t="array" ref="AI70">SUM($B$3:$F$7*AC72:AG76)</f>
        <v>6470</v>
      </c>
      <c r="AJ70" s="1">
        <f>COUNT(AC72:AG76)</f>
        <v>9</v>
      </c>
      <c r="AM70" s="8" t="s">
        <v>24</v>
      </c>
      <c r="AN70" s="8"/>
      <c r="AO70" s="8"/>
      <c r="AP70" s="8"/>
      <c r="AQ70" s="8"/>
      <c r="AR70" s="8"/>
      <c r="AS70" s="8"/>
      <c r="AT70" s="1" cm="1">
        <f t="array" ref="AT70">SUM($B$3:$F$7*AN72:AR76)</f>
        <v>6054</v>
      </c>
      <c r="AU70" s="1">
        <f>COUNT(AN72:AR76)</f>
        <v>9</v>
      </c>
    </row>
    <row r="71" spans="1:47" ht="30" customHeight="1" x14ac:dyDescent="0.3">
      <c r="B71" s="1" t="s">
        <v>5</v>
      </c>
      <c r="C71" s="1" t="s">
        <v>6</v>
      </c>
      <c r="D71" s="1" t="s">
        <v>7</v>
      </c>
      <c r="E71" s="1" t="s">
        <v>8</v>
      </c>
      <c r="F71" s="1" t="s">
        <v>9</v>
      </c>
      <c r="G71" s="1" t="s">
        <v>19</v>
      </c>
      <c r="K71" s="1" t="s">
        <v>5</v>
      </c>
      <c r="L71" s="1" t="s">
        <v>6</v>
      </c>
      <c r="M71" s="1" t="s">
        <v>7</v>
      </c>
      <c r="N71" s="1" t="s">
        <v>8</v>
      </c>
      <c r="O71" s="1" t="s">
        <v>9</v>
      </c>
      <c r="P71" s="1" t="s">
        <v>19</v>
      </c>
      <c r="T71" s="1" t="s">
        <v>5</v>
      </c>
      <c r="U71" s="1" t="s">
        <v>6</v>
      </c>
      <c r="V71" s="1" t="s">
        <v>7</v>
      </c>
      <c r="W71" s="1" t="s">
        <v>8</v>
      </c>
      <c r="X71" s="1" t="s">
        <v>9</v>
      </c>
      <c r="Y71" s="1" t="s">
        <v>19</v>
      </c>
      <c r="AC71" s="1" t="s">
        <v>5</v>
      </c>
      <c r="AD71" s="1" t="s">
        <v>6</v>
      </c>
      <c r="AE71" s="1" t="s">
        <v>7</v>
      </c>
      <c r="AF71" s="1" t="s">
        <v>8</v>
      </c>
      <c r="AG71" s="1" t="s">
        <v>9</v>
      </c>
      <c r="AH71" s="1" t="s">
        <v>11</v>
      </c>
      <c r="AN71" s="1" t="s">
        <v>5</v>
      </c>
      <c r="AO71" s="1" t="s">
        <v>6</v>
      </c>
      <c r="AP71" s="1" t="s">
        <v>7</v>
      </c>
      <c r="AQ71" s="1" t="s">
        <v>8</v>
      </c>
      <c r="AR71" s="1" t="s">
        <v>9</v>
      </c>
      <c r="AS71" s="1" t="s">
        <v>11</v>
      </c>
    </row>
    <row r="72" spans="1:47" ht="30" customHeight="1" x14ac:dyDescent="0.3">
      <c r="A72" s="1" t="s">
        <v>0</v>
      </c>
      <c r="B72" s="2"/>
      <c r="C72" s="2"/>
      <c r="D72" s="2"/>
      <c r="E72" s="2"/>
      <c r="F72" s="2">
        <v>4</v>
      </c>
      <c r="G72" s="1">
        <v>0</v>
      </c>
      <c r="J72" s="1" t="s">
        <v>0</v>
      </c>
      <c r="K72" s="4" cm="1">
        <f t="array" ref="K72:O76">_xlfn.ANCHORARRAY(K77)+_xlfn.ANCHORARRAY(P72)</f>
        <v>6</v>
      </c>
      <c r="L72" s="10">
        <v>6</v>
      </c>
      <c r="M72" s="10">
        <v>7</v>
      </c>
      <c r="N72" s="10">
        <v>7</v>
      </c>
      <c r="O72" s="10">
        <v>4</v>
      </c>
      <c r="P72" s="1" cm="1">
        <f t="array" ref="P72:P76">G72:G76</f>
        <v>0</v>
      </c>
      <c r="S72" s="1" t="s">
        <v>0</v>
      </c>
      <c r="T72" s="10" cm="1">
        <f t="array" ref="T72:X76">K72:O76-$B$3:$F$7</f>
        <v>2</v>
      </c>
      <c r="U72" s="10">
        <v>1</v>
      </c>
      <c r="V72" s="10">
        <v>1</v>
      </c>
      <c r="W72" s="10">
        <v>1</v>
      </c>
      <c r="X72" s="3">
        <v>0</v>
      </c>
      <c r="Y72" s="1" cm="1">
        <f t="array" ref="Y72:Y76">G72:G76</f>
        <v>0</v>
      </c>
      <c r="AB72" s="1" t="s">
        <v>0</v>
      </c>
      <c r="AC72" s="5"/>
      <c r="AD72" s="9"/>
      <c r="AE72" s="9"/>
      <c r="AF72" s="9"/>
      <c r="AG72" s="6">
        <v>250</v>
      </c>
      <c r="AH72" s="1">
        <f>SUM(AC72:AG72)</f>
        <v>250</v>
      </c>
      <c r="AM72" s="1" t="s">
        <v>0</v>
      </c>
      <c r="AN72" s="9">
        <v>208</v>
      </c>
      <c r="AO72" s="9"/>
      <c r="AP72" s="9"/>
      <c r="AQ72" s="9"/>
      <c r="AR72" s="9">
        <v>42</v>
      </c>
      <c r="AS72" s="1">
        <f>SUM(AN72:AR72)</f>
        <v>250</v>
      </c>
    </row>
    <row r="73" spans="1:47" ht="30" customHeight="1" x14ac:dyDescent="0.3">
      <c r="A73" s="1" t="s">
        <v>1</v>
      </c>
      <c r="B73" s="2">
        <v>3</v>
      </c>
      <c r="C73" s="2">
        <v>3</v>
      </c>
      <c r="D73" s="2"/>
      <c r="E73" s="2"/>
      <c r="F73" s="2"/>
      <c r="G73" s="1">
        <v>-3</v>
      </c>
      <c r="J73" s="1" t="s">
        <v>1</v>
      </c>
      <c r="K73" s="10">
        <v>3</v>
      </c>
      <c r="L73" s="10">
        <v>3</v>
      </c>
      <c r="M73" s="10">
        <v>4</v>
      </c>
      <c r="N73" s="10">
        <v>4</v>
      </c>
      <c r="O73" s="10">
        <v>1</v>
      </c>
      <c r="P73" s="1">
        <v>-3</v>
      </c>
      <c r="S73" s="1" t="s">
        <v>1</v>
      </c>
      <c r="T73" s="3">
        <v>0</v>
      </c>
      <c r="U73" s="3">
        <v>0</v>
      </c>
      <c r="V73" s="10">
        <v>-2</v>
      </c>
      <c r="W73" s="10">
        <v>-1</v>
      </c>
      <c r="X73" s="10">
        <v>-6</v>
      </c>
      <c r="Y73" s="1">
        <v>-3</v>
      </c>
      <c r="AB73" s="1" t="s">
        <v>1</v>
      </c>
      <c r="AC73" s="6">
        <v>242</v>
      </c>
      <c r="AD73" s="5">
        <v>58</v>
      </c>
      <c r="AE73" s="9"/>
      <c r="AF73" s="9"/>
      <c r="AG73" s="9"/>
      <c r="AH73" s="1">
        <f t="shared" ref="AH73:AH76" si="26">SUM(AC73:AG73)</f>
        <v>300</v>
      </c>
      <c r="AM73" s="1" t="s">
        <v>1</v>
      </c>
      <c r="AN73" s="9">
        <v>34</v>
      </c>
      <c r="AO73" s="9">
        <v>266</v>
      </c>
      <c r="AP73" s="9"/>
      <c r="AQ73" s="9"/>
      <c r="AR73" s="9"/>
      <c r="AS73" s="1">
        <f t="shared" ref="AS73:AS76" si="27">SUM(AN73:AR73)</f>
        <v>300</v>
      </c>
    </row>
    <row r="74" spans="1:47" ht="30" customHeight="1" x14ac:dyDescent="0.3">
      <c r="A74" s="1" t="s">
        <v>2</v>
      </c>
      <c r="B74" s="2"/>
      <c r="C74" s="2"/>
      <c r="D74" s="2">
        <v>7</v>
      </c>
      <c r="E74" s="2"/>
      <c r="F74" s="2">
        <v>4</v>
      </c>
      <c r="G74" s="1">
        <v>0</v>
      </c>
      <c r="J74" s="1" t="s">
        <v>2</v>
      </c>
      <c r="K74" s="10">
        <v>6</v>
      </c>
      <c r="L74" s="10">
        <v>6</v>
      </c>
      <c r="M74" s="10">
        <v>7</v>
      </c>
      <c r="N74" s="10">
        <v>7</v>
      </c>
      <c r="O74" s="10">
        <v>4</v>
      </c>
      <c r="P74" s="1">
        <v>0</v>
      </c>
      <c r="S74" s="1" t="s">
        <v>2</v>
      </c>
      <c r="T74" s="10">
        <v>1</v>
      </c>
      <c r="U74" s="10">
        <v>0</v>
      </c>
      <c r="V74" s="3">
        <v>0</v>
      </c>
      <c r="W74" s="10">
        <v>0</v>
      </c>
      <c r="X74" s="3">
        <v>0</v>
      </c>
      <c r="Y74" s="1">
        <v>0</v>
      </c>
      <c r="AB74" s="1" t="s">
        <v>2</v>
      </c>
      <c r="AC74" s="9"/>
      <c r="AD74" s="9"/>
      <c r="AE74" s="6">
        <v>226</v>
      </c>
      <c r="AF74" s="9"/>
      <c r="AG74" s="5">
        <v>124</v>
      </c>
      <c r="AH74" s="1">
        <f t="shared" si="26"/>
        <v>350</v>
      </c>
      <c r="AM74" s="1" t="s">
        <v>2</v>
      </c>
      <c r="AN74" s="9"/>
      <c r="AO74" s="9"/>
      <c r="AP74" s="9">
        <v>18</v>
      </c>
      <c r="AQ74" s="9"/>
      <c r="AR74" s="9">
        <v>332</v>
      </c>
      <c r="AS74" s="1">
        <f t="shared" si="27"/>
        <v>350</v>
      </c>
    </row>
    <row r="75" spans="1:47" ht="30" customHeight="1" x14ac:dyDescent="0.3">
      <c r="A75" s="1" t="s">
        <v>3</v>
      </c>
      <c r="B75" s="2"/>
      <c r="C75" s="2"/>
      <c r="D75" s="2">
        <v>4</v>
      </c>
      <c r="E75" s="2">
        <v>4</v>
      </c>
      <c r="F75" s="2"/>
      <c r="G75" s="1">
        <v>-3</v>
      </c>
      <c r="J75" s="1" t="s">
        <v>3</v>
      </c>
      <c r="K75" s="10">
        <v>3</v>
      </c>
      <c r="L75" s="10">
        <v>3</v>
      </c>
      <c r="M75" s="10">
        <v>4</v>
      </c>
      <c r="N75" s="10">
        <v>4</v>
      </c>
      <c r="O75" s="10">
        <v>1</v>
      </c>
      <c r="P75" s="1">
        <v>-3</v>
      </c>
      <c r="S75" s="1" t="s">
        <v>3</v>
      </c>
      <c r="T75" s="10">
        <v>-4</v>
      </c>
      <c r="U75" s="10">
        <v>-3</v>
      </c>
      <c r="V75" s="3">
        <v>0</v>
      </c>
      <c r="W75" s="3">
        <v>0</v>
      </c>
      <c r="X75" s="10">
        <v>-6</v>
      </c>
      <c r="Y75" s="1">
        <v>-3</v>
      </c>
      <c r="AB75" s="1" t="s">
        <v>3</v>
      </c>
      <c r="AC75" s="9"/>
      <c r="AD75" s="9"/>
      <c r="AE75" s="9">
        <v>10</v>
      </c>
      <c r="AF75" s="9">
        <v>290</v>
      </c>
      <c r="AG75" s="9"/>
      <c r="AH75" s="1">
        <f t="shared" si="26"/>
        <v>300</v>
      </c>
      <c r="AM75" s="1" t="s">
        <v>3</v>
      </c>
      <c r="AN75" s="9"/>
      <c r="AO75" s="9"/>
      <c r="AP75" s="9">
        <v>10</v>
      </c>
      <c r="AQ75" s="9">
        <v>290</v>
      </c>
      <c r="AR75" s="9"/>
      <c r="AS75" s="1">
        <f t="shared" si="27"/>
        <v>300</v>
      </c>
    </row>
    <row r="76" spans="1:47" ht="30" customHeight="1" x14ac:dyDescent="0.3">
      <c r="A76" s="1" t="s">
        <v>4</v>
      </c>
      <c r="B76" s="2"/>
      <c r="C76" s="2">
        <v>5</v>
      </c>
      <c r="D76" s="2">
        <v>6</v>
      </c>
      <c r="E76" s="2"/>
      <c r="F76" s="2"/>
      <c r="G76" s="1">
        <v>-1</v>
      </c>
      <c r="J76" s="1" t="s">
        <v>4</v>
      </c>
      <c r="K76" s="10">
        <v>5</v>
      </c>
      <c r="L76" s="10">
        <v>5</v>
      </c>
      <c r="M76" s="10">
        <v>6</v>
      </c>
      <c r="N76" s="10">
        <v>6</v>
      </c>
      <c r="O76" s="10">
        <v>3</v>
      </c>
      <c r="P76" s="1">
        <v>-1</v>
      </c>
      <c r="S76" s="1" t="s">
        <v>4</v>
      </c>
      <c r="T76" s="10">
        <v>-1</v>
      </c>
      <c r="U76" s="3">
        <v>0</v>
      </c>
      <c r="V76" s="3">
        <v>0</v>
      </c>
      <c r="W76" s="10">
        <v>-1</v>
      </c>
      <c r="X76" s="10">
        <v>-3</v>
      </c>
      <c r="Y76" s="1">
        <v>-1</v>
      </c>
      <c r="AB76" s="1" t="s">
        <v>4</v>
      </c>
      <c r="AC76" s="9"/>
      <c r="AD76" s="6">
        <v>208</v>
      </c>
      <c r="AE76" s="5">
        <v>42</v>
      </c>
      <c r="AF76" s="9"/>
      <c r="AG76" s="9"/>
      <c r="AH76" s="1">
        <f t="shared" si="26"/>
        <v>250</v>
      </c>
      <c r="AM76" s="1" t="s">
        <v>4</v>
      </c>
      <c r="AN76" s="9"/>
      <c r="AO76" s="9"/>
      <c r="AP76" s="9">
        <v>250</v>
      </c>
      <c r="AQ76" s="9"/>
      <c r="AR76" s="9"/>
      <c r="AS76" s="1">
        <f t="shared" si="27"/>
        <v>250</v>
      </c>
    </row>
    <row r="77" spans="1:47" ht="30" customHeight="1" x14ac:dyDescent="0.3">
      <c r="A77" s="1" t="s">
        <v>20</v>
      </c>
      <c r="B77" s="1">
        <v>6</v>
      </c>
      <c r="C77" s="1">
        <v>6</v>
      </c>
      <c r="D77" s="1">
        <v>7</v>
      </c>
      <c r="E77" s="1">
        <v>7</v>
      </c>
      <c r="F77" s="1">
        <v>4</v>
      </c>
      <c r="J77" s="1" t="s">
        <v>20</v>
      </c>
      <c r="K77" s="1" cm="1">
        <f t="array" ref="K77:O77">B77:F77</f>
        <v>6</v>
      </c>
      <c r="L77" s="1">
        <v>6</v>
      </c>
      <c r="M77" s="1">
        <v>7</v>
      </c>
      <c r="N77" s="1">
        <v>7</v>
      </c>
      <c r="O77" s="1">
        <v>4</v>
      </c>
      <c r="S77" s="1" t="s">
        <v>20</v>
      </c>
      <c r="T77" s="1" cm="1">
        <f t="array" ref="T77:X77">B77:F77</f>
        <v>6</v>
      </c>
      <c r="U77" s="1">
        <v>6</v>
      </c>
      <c r="V77" s="1">
        <v>7</v>
      </c>
      <c r="W77" s="1">
        <v>7</v>
      </c>
      <c r="X77" s="1">
        <v>4</v>
      </c>
      <c r="AB77" s="1" t="s">
        <v>10</v>
      </c>
      <c r="AC77" s="1">
        <f>SUM(AC72:AC76)</f>
        <v>242</v>
      </c>
      <c r="AD77" s="1">
        <f t="shared" ref="AD77:AG77" si="28">SUM(AD72:AD76)</f>
        <v>266</v>
      </c>
      <c r="AE77" s="1">
        <f t="shared" si="28"/>
        <v>278</v>
      </c>
      <c r="AF77" s="1">
        <f t="shared" si="28"/>
        <v>290</v>
      </c>
      <c r="AG77" s="1">
        <f t="shared" si="28"/>
        <v>374</v>
      </c>
      <c r="AM77" s="1" t="s">
        <v>10</v>
      </c>
      <c r="AN77" s="1">
        <f>SUM(AN72:AN76)</f>
        <v>242</v>
      </c>
      <c r="AO77" s="1">
        <f t="shared" ref="AO77:AR77" si="29">SUM(AO72:AO76)</f>
        <v>266</v>
      </c>
      <c r="AP77" s="1">
        <f t="shared" si="29"/>
        <v>278</v>
      </c>
      <c r="AQ77" s="1">
        <f t="shared" si="29"/>
        <v>290</v>
      </c>
      <c r="AR77" s="1">
        <f t="shared" si="29"/>
        <v>374</v>
      </c>
    </row>
    <row r="80" spans="1:47" ht="30" customHeight="1" x14ac:dyDescent="0.3">
      <c r="A80" s="8" t="s">
        <v>18</v>
      </c>
      <c r="B80" s="8"/>
      <c r="C80" s="8"/>
      <c r="D80" s="8"/>
      <c r="E80" s="8"/>
      <c r="F80" s="8"/>
      <c r="G80" s="8"/>
      <c r="J80" s="8" t="s">
        <v>21</v>
      </c>
      <c r="K80" s="8"/>
      <c r="L80" s="8"/>
      <c r="M80" s="8"/>
      <c r="N80" s="8"/>
      <c r="O80" s="8"/>
      <c r="P80" s="8"/>
      <c r="S80" s="8" t="s">
        <v>22</v>
      </c>
      <c r="T80" s="8"/>
      <c r="U80" s="8"/>
      <c r="V80" s="8"/>
      <c r="W80" s="8"/>
      <c r="X80" s="8"/>
      <c r="Y80" s="8"/>
      <c r="AB80" s="8" t="s">
        <v>23</v>
      </c>
      <c r="AC80" s="8"/>
      <c r="AD80" s="8"/>
      <c r="AE80" s="8"/>
      <c r="AF80" s="8"/>
      <c r="AG80" s="8"/>
      <c r="AH80" s="8"/>
      <c r="AI80" s="1" cm="1">
        <f t="array" ref="AI80">SUM($B$3:$F$7*AC82:AG86)</f>
        <v>6054</v>
      </c>
      <c r="AJ80" s="1">
        <f>COUNT(AC82:AG86)</f>
        <v>9</v>
      </c>
      <c r="AM80" s="8" t="s">
        <v>24</v>
      </c>
      <c r="AN80" s="8"/>
      <c r="AO80" s="8"/>
      <c r="AP80" s="8"/>
      <c r="AQ80" s="8"/>
      <c r="AR80" s="8"/>
      <c r="AS80" s="8"/>
      <c r="AT80" s="1" cm="1">
        <f t="array" ref="AT80">SUM($B$3:$F$7*AN82:AR86)</f>
        <v>6036</v>
      </c>
      <c r="AU80" s="1">
        <f>COUNT(AN82:AR86)</f>
        <v>9</v>
      </c>
    </row>
    <row r="81" spans="1:45" ht="30" customHeight="1" x14ac:dyDescent="0.3">
      <c r="B81" s="1" t="s">
        <v>5</v>
      </c>
      <c r="C81" s="1" t="s">
        <v>6</v>
      </c>
      <c r="D81" s="1" t="s">
        <v>7</v>
      </c>
      <c r="E81" s="1" t="s">
        <v>8</v>
      </c>
      <c r="F81" s="1" t="s">
        <v>9</v>
      </c>
      <c r="G81" s="1" t="s">
        <v>19</v>
      </c>
      <c r="K81" s="1" t="s">
        <v>5</v>
      </c>
      <c r="L81" s="1" t="s">
        <v>6</v>
      </c>
      <c r="M81" s="1" t="s">
        <v>7</v>
      </c>
      <c r="N81" s="1" t="s">
        <v>8</v>
      </c>
      <c r="O81" s="1" t="s">
        <v>9</v>
      </c>
      <c r="P81" s="1" t="s">
        <v>19</v>
      </c>
      <c r="T81" s="1" t="s">
        <v>5</v>
      </c>
      <c r="U81" s="1" t="s">
        <v>6</v>
      </c>
      <c r="V81" s="1" t="s">
        <v>7</v>
      </c>
      <c r="W81" s="1" t="s">
        <v>8</v>
      </c>
      <c r="X81" s="1" t="s">
        <v>9</v>
      </c>
      <c r="Y81" s="1" t="s">
        <v>19</v>
      </c>
      <c r="AC81" s="1" t="s">
        <v>5</v>
      </c>
      <c r="AD81" s="1" t="s">
        <v>6</v>
      </c>
      <c r="AE81" s="1" t="s">
        <v>7</v>
      </c>
      <c r="AF81" s="1" t="s">
        <v>8</v>
      </c>
      <c r="AG81" s="1" t="s">
        <v>9</v>
      </c>
      <c r="AH81" s="1" t="s">
        <v>11</v>
      </c>
      <c r="AN81" s="1" t="s">
        <v>5</v>
      </c>
      <c r="AO81" s="1" t="s">
        <v>6</v>
      </c>
      <c r="AP81" s="1" t="s">
        <v>7</v>
      </c>
      <c r="AQ81" s="1" t="s">
        <v>8</v>
      </c>
      <c r="AR81" s="1" t="s">
        <v>9</v>
      </c>
      <c r="AS81" s="1" t="s">
        <v>11</v>
      </c>
    </row>
    <row r="82" spans="1:45" ht="30" customHeight="1" x14ac:dyDescent="0.3">
      <c r="A82" s="1" t="s">
        <v>0</v>
      </c>
      <c r="B82" s="2">
        <v>4</v>
      </c>
      <c r="C82" s="2"/>
      <c r="D82" s="2"/>
      <c r="E82" s="2"/>
      <c r="F82" s="2">
        <v>4</v>
      </c>
      <c r="G82" s="1">
        <v>0</v>
      </c>
      <c r="J82" s="1" t="s">
        <v>0</v>
      </c>
      <c r="K82" s="4" cm="1">
        <f t="array" ref="K82:O86">_xlfn.ANCHORARRAY(K87)+_xlfn.ANCHORARRAY(P82)</f>
        <v>4</v>
      </c>
      <c r="L82" s="10">
        <v>4</v>
      </c>
      <c r="M82" s="10">
        <v>7</v>
      </c>
      <c r="N82" s="10">
        <v>7</v>
      </c>
      <c r="O82" s="10">
        <v>4</v>
      </c>
      <c r="P82" s="1" cm="1">
        <f t="array" ref="P82:P86">G82:G86</f>
        <v>0</v>
      </c>
      <c r="S82" s="1" t="s">
        <v>0</v>
      </c>
      <c r="T82" s="3" cm="1">
        <f t="array" ref="T82:X86">K82:O86-$B$3:$F$7</f>
        <v>0</v>
      </c>
      <c r="U82" s="10">
        <v>-1</v>
      </c>
      <c r="V82" s="10">
        <v>1</v>
      </c>
      <c r="W82" s="10">
        <v>1</v>
      </c>
      <c r="X82" s="3">
        <v>0</v>
      </c>
      <c r="Y82" s="1" cm="1">
        <f t="array" ref="Y82:Y86">G82:G86</f>
        <v>0</v>
      </c>
      <c r="AB82" s="1" t="s">
        <v>0</v>
      </c>
      <c r="AC82" s="5">
        <v>208</v>
      </c>
      <c r="AD82" s="9"/>
      <c r="AE82" s="9"/>
      <c r="AF82" s="9"/>
      <c r="AG82" s="6">
        <v>42</v>
      </c>
      <c r="AH82" s="1">
        <f>SUM(AC82:AG82)</f>
        <v>250</v>
      </c>
      <c r="AM82" s="1" t="s">
        <v>0</v>
      </c>
      <c r="AN82" s="9">
        <v>226</v>
      </c>
      <c r="AO82" s="9"/>
      <c r="AP82" s="9"/>
      <c r="AQ82" s="9"/>
      <c r="AR82" s="9">
        <v>24</v>
      </c>
      <c r="AS82" s="1">
        <f>SUM(AN82:AR82)</f>
        <v>250</v>
      </c>
    </row>
    <row r="83" spans="1:45" ht="30" customHeight="1" x14ac:dyDescent="0.3">
      <c r="A83" s="1" t="s">
        <v>1</v>
      </c>
      <c r="B83" s="2">
        <v>3</v>
      </c>
      <c r="C83" s="2">
        <v>3</v>
      </c>
      <c r="D83" s="2"/>
      <c r="E83" s="2"/>
      <c r="F83" s="2"/>
      <c r="G83" s="1">
        <v>-1</v>
      </c>
      <c r="J83" s="1" t="s">
        <v>1</v>
      </c>
      <c r="K83" s="10">
        <v>3</v>
      </c>
      <c r="L83" s="10">
        <v>3</v>
      </c>
      <c r="M83" s="10">
        <v>6</v>
      </c>
      <c r="N83" s="10">
        <v>6</v>
      </c>
      <c r="O83" s="10">
        <v>3</v>
      </c>
      <c r="P83" s="1">
        <v>-1</v>
      </c>
      <c r="S83" s="1" t="s">
        <v>1</v>
      </c>
      <c r="T83" s="3">
        <v>0</v>
      </c>
      <c r="U83" s="3">
        <v>0</v>
      </c>
      <c r="V83" s="10">
        <v>0</v>
      </c>
      <c r="W83" s="10">
        <v>1</v>
      </c>
      <c r="X83" s="10">
        <v>-4</v>
      </c>
      <c r="Y83" s="1">
        <v>-1</v>
      </c>
      <c r="AB83" s="1" t="s">
        <v>1</v>
      </c>
      <c r="AC83" s="6">
        <v>34</v>
      </c>
      <c r="AD83" s="9">
        <v>266</v>
      </c>
      <c r="AE83" s="9"/>
      <c r="AF83" s="5"/>
      <c r="AG83" s="9"/>
      <c r="AH83" s="1">
        <f t="shared" ref="AH83:AH86" si="30">SUM(AC83:AG83)</f>
        <v>300</v>
      </c>
      <c r="AM83" s="1" t="s">
        <v>1</v>
      </c>
      <c r="AN83" s="9">
        <v>16</v>
      </c>
      <c r="AO83" s="9">
        <v>266</v>
      </c>
      <c r="AP83" s="9"/>
      <c r="AQ83" s="9">
        <v>18</v>
      </c>
      <c r="AR83" s="9"/>
      <c r="AS83" s="1">
        <f t="shared" ref="AS83:AS86" si="31">SUM(AN83:AR83)</f>
        <v>300</v>
      </c>
    </row>
    <row r="84" spans="1:45" ht="30" customHeight="1" x14ac:dyDescent="0.3">
      <c r="A84" s="1" t="s">
        <v>2</v>
      </c>
      <c r="B84" s="2"/>
      <c r="C84" s="2"/>
      <c r="D84" s="2">
        <v>7</v>
      </c>
      <c r="E84" s="2"/>
      <c r="F84" s="2">
        <v>4</v>
      </c>
      <c r="G84" s="1">
        <v>0</v>
      </c>
      <c r="J84" s="1" t="s">
        <v>2</v>
      </c>
      <c r="K84" s="10">
        <v>4</v>
      </c>
      <c r="L84" s="10">
        <v>4</v>
      </c>
      <c r="M84" s="10">
        <v>7</v>
      </c>
      <c r="N84" s="10">
        <v>7</v>
      </c>
      <c r="O84" s="10">
        <v>4</v>
      </c>
      <c r="P84" s="1">
        <v>0</v>
      </c>
      <c r="S84" s="1" t="s">
        <v>2</v>
      </c>
      <c r="T84" s="10">
        <v>-1</v>
      </c>
      <c r="U84" s="10">
        <v>-2</v>
      </c>
      <c r="V84" s="3">
        <v>0</v>
      </c>
      <c r="W84" s="10">
        <v>0</v>
      </c>
      <c r="X84" s="3">
        <v>0</v>
      </c>
      <c r="Y84" s="1">
        <v>0</v>
      </c>
      <c r="AB84" s="1" t="s">
        <v>2</v>
      </c>
      <c r="AC84" s="9"/>
      <c r="AD84" s="9"/>
      <c r="AE84" s="6">
        <v>18</v>
      </c>
      <c r="AF84" s="9"/>
      <c r="AG84" s="5">
        <v>332</v>
      </c>
      <c r="AH84" s="1">
        <f t="shared" si="30"/>
        <v>350</v>
      </c>
      <c r="AM84" s="1" t="s">
        <v>2</v>
      </c>
      <c r="AN84" s="9"/>
      <c r="AO84" s="9"/>
      <c r="AP84" s="9"/>
      <c r="AQ84" s="9"/>
      <c r="AR84" s="9">
        <v>350</v>
      </c>
      <c r="AS84" s="1">
        <f t="shared" si="31"/>
        <v>350</v>
      </c>
    </row>
    <row r="85" spans="1:45" ht="30" customHeight="1" x14ac:dyDescent="0.3">
      <c r="A85" s="1" t="s">
        <v>3</v>
      </c>
      <c r="B85" s="2"/>
      <c r="C85" s="2"/>
      <c r="D85" s="2">
        <v>4</v>
      </c>
      <c r="E85" s="2">
        <v>4</v>
      </c>
      <c r="F85" s="2"/>
      <c r="G85" s="1">
        <v>-3</v>
      </c>
      <c r="J85" s="1" t="s">
        <v>3</v>
      </c>
      <c r="K85" s="10">
        <v>1</v>
      </c>
      <c r="L85" s="10">
        <v>1</v>
      </c>
      <c r="M85" s="10">
        <v>4</v>
      </c>
      <c r="N85" s="10">
        <v>4</v>
      </c>
      <c r="O85" s="10">
        <v>1</v>
      </c>
      <c r="P85" s="1">
        <v>-3</v>
      </c>
      <c r="S85" s="1" t="s">
        <v>3</v>
      </c>
      <c r="T85" s="10">
        <v>-6</v>
      </c>
      <c r="U85" s="10">
        <v>-5</v>
      </c>
      <c r="V85" s="3">
        <v>0</v>
      </c>
      <c r="W85" s="3">
        <v>0</v>
      </c>
      <c r="X85" s="10">
        <v>-6</v>
      </c>
      <c r="Y85" s="1">
        <v>-3</v>
      </c>
      <c r="AB85" s="1" t="s">
        <v>3</v>
      </c>
      <c r="AC85" s="9"/>
      <c r="AD85" s="9"/>
      <c r="AE85" s="5">
        <v>10</v>
      </c>
      <c r="AF85" s="6">
        <v>290</v>
      </c>
      <c r="AG85" s="9"/>
      <c r="AH85" s="1">
        <f t="shared" si="30"/>
        <v>300</v>
      </c>
      <c r="AM85" s="1" t="s">
        <v>3</v>
      </c>
      <c r="AN85" s="9"/>
      <c r="AO85" s="9"/>
      <c r="AP85" s="9">
        <v>28</v>
      </c>
      <c r="AQ85" s="9">
        <v>272</v>
      </c>
      <c r="AR85" s="9"/>
      <c r="AS85" s="1">
        <f t="shared" si="31"/>
        <v>300</v>
      </c>
    </row>
    <row r="86" spans="1:45" ht="30" customHeight="1" x14ac:dyDescent="0.3">
      <c r="A86" s="1" t="s">
        <v>4</v>
      </c>
      <c r="B86" s="2"/>
      <c r="C86" s="2"/>
      <c r="D86" s="2">
        <v>6</v>
      </c>
      <c r="E86" s="2"/>
      <c r="F86" s="2"/>
      <c r="G86" s="1">
        <v>-1</v>
      </c>
      <c r="J86" s="1" t="s">
        <v>4</v>
      </c>
      <c r="K86" s="10">
        <v>3</v>
      </c>
      <c r="L86" s="10">
        <v>3</v>
      </c>
      <c r="M86" s="10">
        <v>6</v>
      </c>
      <c r="N86" s="10">
        <v>6</v>
      </c>
      <c r="O86" s="10">
        <v>3</v>
      </c>
      <c r="P86" s="1">
        <v>-1</v>
      </c>
      <c r="S86" s="1" t="s">
        <v>4</v>
      </c>
      <c r="T86" s="10">
        <v>-3</v>
      </c>
      <c r="U86" s="10">
        <v>-2</v>
      </c>
      <c r="V86" s="3">
        <v>0</v>
      </c>
      <c r="W86" s="10">
        <v>-1</v>
      </c>
      <c r="X86" s="10">
        <v>-3</v>
      </c>
      <c r="Y86" s="1">
        <v>-1</v>
      </c>
      <c r="AB86" s="1" t="s">
        <v>4</v>
      </c>
      <c r="AC86" s="9"/>
      <c r="AD86" s="9"/>
      <c r="AE86" s="9">
        <v>250</v>
      </c>
      <c r="AF86" s="9"/>
      <c r="AG86" s="9"/>
      <c r="AH86" s="1">
        <f t="shared" si="30"/>
        <v>250</v>
      </c>
      <c r="AM86" s="1" t="s">
        <v>4</v>
      </c>
      <c r="AN86" s="9"/>
      <c r="AO86" s="9"/>
      <c r="AP86" s="9">
        <v>250</v>
      </c>
      <c r="AQ86" s="9"/>
      <c r="AR86" s="9"/>
      <c r="AS86" s="1">
        <f t="shared" si="31"/>
        <v>250</v>
      </c>
    </row>
    <row r="87" spans="1:45" ht="30" customHeight="1" x14ac:dyDescent="0.3">
      <c r="A87" s="1" t="s">
        <v>20</v>
      </c>
      <c r="B87" s="1">
        <v>4</v>
      </c>
      <c r="C87" s="1">
        <v>4</v>
      </c>
      <c r="D87" s="1">
        <v>7</v>
      </c>
      <c r="E87" s="1">
        <v>7</v>
      </c>
      <c r="F87" s="1">
        <v>4</v>
      </c>
      <c r="J87" s="1" t="s">
        <v>20</v>
      </c>
      <c r="K87" s="1" cm="1">
        <f t="array" ref="K87:O87">B87:F87</f>
        <v>4</v>
      </c>
      <c r="L87" s="1">
        <v>4</v>
      </c>
      <c r="M87" s="1">
        <v>7</v>
      </c>
      <c r="N87" s="1">
        <v>7</v>
      </c>
      <c r="O87" s="1">
        <v>4</v>
      </c>
      <c r="S87" s="1" t="s">
        <v>20</v>
      </c>
      <c r="T87" s="1" cm="1">
        <f t="array" ref="T87:X87">B87:F87</f>
        <v>4</v>
      </c>
      <c r="U87" s="1">
        <v>4</v>
      </c>
      <c r="V87" s="1">
        <v>7</v>
      </c>
      <c r="W87" s="1">
        <v>7</v>
      </c>
      <c r="X87" s="1">
        <v>4</v>
      </c>
      <c r="AB87" s="1" t="s">
        <v>10</v>
      </c>
      <c r="AC87" s="1">
        <f>SUM(AC82:AC86)</f>
        <v>242</v>
      </c>
      <c r="AD87" s="1">
        <f t="shared" ref="AD87:AG87" si="32">SUM(AD82:AD86)</f>
        <v>266</v>
      </c>
      <c r="AE87" s="1">
        <f t="shared" si="32"/>
        <v>278</v>
      </c>
      <c r="AF87" s="1">
        <f t="shared" si="32"/>
        <v>290</v>
      </c>
      <c r="AG87" s="1">
        <f t="shared" si="32"/>
        <v>374</v>
      </c>
      <c r="AM87" s="1" t="s">
        <v>10</v>
      </c>
      <c r="AN87" s="1">
        <f>SUM(AN82:AN86)</f>
        <v>242</v>
      </c>
      <c r="AO87" s="1">
        <f t="shared" ref="AO87:AR87" si="33">SUM(AO82:AO86)</f>
        <v>266</v>
      </c>
      <c r="AP87" s="1">
        <f t="shared" si="33"/>
        <v>278</v>
      </c>
      <c r="AQ87" s="1">
        <f t="shared" si="33"/>
        <v>290</v>
      </c>
      <c r="AR87" s="1">
        <f t="shared" si="33"/>
        <v>374</v>
      </c>
    </row>
    <row r="90" spans="1:45" ht="30" customHeight="1" x14ac:dyDescent="0.3">
      <c r="A90" s="8" t="s">
        <v>18</v>
      </c>
      <c r="B90" s="8"/>
      <c r="C90" s="8"/>
      <c r="D90" s="8"/>
      <c r="E90" s="8"/>
      <c r="F90" s="8"/>
      <c r="G90" s="8"/>
      <c r="J90" s="8" t="s">
        <v>21</v>
      </c>
      <c r="K90" s="8"/>
      <c r="L90" s="8"/>
      <c r="M90" s="8"/>
      <c r="N90" s="8"/>
      <c r="O90" s="8"/>
      <c r="P90" s="8"/>
      <c r="S90" s="8" t="s">
        <v>22</v>
      </c>
      <c r="T90" s="8"/>
      <c r="U90" s="8"/>
      <c r="V90" s="8"/>
      <c r="W90" s="8"/>
      <c r="X90" s="8"/>
      <c r="Y90" s="8"/>
      <c r="AB90" s="8" t="s">
        <v>25</v>
      </c>
      <c r="AC90" s="8"/>
      <c r="AD90" s="8"/>
      <c r="AE90" s="8"/>
      <c r="AF90" s="8"/>
      <c r="AG90" s="8"/>
      <c r="AH90" s="8"/>
      <c r="AI90" s="1" cm="1">
        <f t="array" ref="AI90">SUM($B$3:$F$7*AC92:AG96)</f>
        <v>6036</v>
      </c>
      <c r="AJ90" s="1">
        <f>COUNT(AC92:AG96)</f>
        <v>9</v>
      </c>
    </row>
    <row r="91" spans="1:45" ht="30" customHeight="1" x14ac:dyDescent="0.3">
      <c r="B91" s="1" t="s">
        <v>5</v>
      </c>
      <c r="C91" s="1" t="s">
        <v>6</v>
      </c>
      <c r="D91" s="1" t="s">
        <v>7</v>
      </c>
      <c r="E91" s="1" t="s">
        <v>8</v>
      </c>
      <c r="F91" s="1" t="s">
        <v>9</v>
      </c>
      <c r="G91" s="1" t="s">
        <v>19</v>
      </c>
      <c r="K91" s="1" t="s">
        <v>5</v>
      </c>
      <c r="L91" s="1" t="s">
        <v>6</v>
      </c>
      <c r="M91" s="1" t="s">
        <v>7</v>
      </c>
      <c r="N91" s="1" t="s">
        <v>8</v>
      </c>
      <c r="O91" s="1" t="s">
        <v>9</v>
      </c>
      <c r="P91" s="1" t="s">
        <v>19</v>
      </c>
      <c r="T91" s="1" t="s">
        <v>5</v>
      </c>
      <c r="U91" s="1" t="s">
        <v>6</v>
      </c>
      <c r="V91" s="1" t="s">
        <v>7</v>
      </c>
      <c r="W91" s="1" t="s">
        <v>8</v>
      </c>
      <c r="X91" s="1" t="s">
        <v>9</v>
      </c>
      <c r="Y91" s="1" t="s">
        <v>19</v>
      </c>
      <c r="AC91" s="1" t="s">
        <v>5</v>
      </c>
      <c r="AD91" s="1" t="s">
        <v>6</v>
      </c>
      <c r="AE91" s="1" t="s">
        <v>7</v>
      </c>
      <c r="AF91" s="1" t="s">
        <v>8</v>
      </c>
      <c r="AG91" s="1" t="s">
        <v>9</v>
      </c>
      <c r="AH91" s="1" t="s">
        <v>11</v>
      </c>
    </row>
    <row r="92" spans="1:45" ht="30" customHeight="1" x14ac:dyDescent="0.3">
      <c r="A92" s="1" t="s">
        <v>0</v>
      </c>
      <c r="B92" s="2">
        <v>4</v>
      </c>
      <c r="C92" s="2"/>
      <c r="D92" s="2"/>
      <c r="E92" s="2"/>
      <c r="F92" s="2">
        <v>4</v>
      </c>
      <c r="G92" s="1">
        <v>0</v>
      </c>
      <c r="J92" s="1" t="s">
        <v>0</v>
      </c>
      <c r="K92" s="4" cm="1">
        <f t="array" ref="K92:O96">_xlfn.ANCHORARRAY(K97)+_xlfn.ANCHORARRAY(P92)</f>
        <v>4</v>
      </c>
      <c r="L92" s="10">
        <v>4</v>
      </c>
      <c r="M92" s="10">
        <v>6</v>
      </c>
      <c r="N92" s="10">
        <v>6</v>
      </c>
      <c r="O92" s="10">
        <v>4</v>
      </c>
      <c r="P92" s="1" cm="1">
        <f t="array" ref="P92:P96">G92:G96</f>
        <v>0</v>
      </c>
      <c r="S92" s="1" t="s">
        <v>0</v>
      </c>
      <c r="T92" s="3" cm="1">
        <f t="array" ref="T92:X96">K92:O96-$B$3:$F$7</f>
        <v>0</v>
      </c>
      <c r="U92" s="10">
        <v>-1</v>
      </c>
      <c r="V92" s="10">
        <v>0</v>
      </c>
      <c r="W92" s="10">
        <v>0</v>
      </c>
      <c r="X92" s="3">
        <v>0</v>
      </c>
      <c r="Y92" s="1" cm="1">
        <f t="array" ref="Y92:Y96">G92:G96</f>
        <v>0</v>
      </c>
      <c r="AB92" s="1" t="s">
        <v>0</v>
      </c>
      <c r="AC92" s="9">
        <v>226</v>
      </c>
      <c r="AD92" s="9"/>
      <c r="AE92" s="9"/>
      <c r="AF92" s="9"/>
      <c r="AG92" s="9">
        <v>24</v>
      </c>
      <c r="AH92" s="1">
        <f>SUM(AC92:AG92)</f>
        <v>250</v>
      </c>
    </row>
    <row r="93" spans="1:45" ht="30" customHeight="1" x14ac:dyDescent="0.3">
      <c r="A93" s="1" t="s">
        <v>1</v>
      </c>
      <c r="B93" s="2">
        <v>3</v>
      </c>
      <c r="C93" s="2">
        <v>3</v>
      </c>
      <c r="D93" s="2"/>
      <c r="E93" s="2">
        <v>5</v>
      </c>
      <c r="F93" s="2"/>
      <c r="G93" s="1">
        <v>-1</v>
      </c>
      <c r="J93" s="1" t="s">
        <v>1</v>
      </c>
      <c r="K93" s="10">
        <v>3</v>
      </c>
      <c r="L93" s="10">
        <v>3</v>
      </c>
      <c r="M93" s="10">
        <v>5</v>
      </c>
      <c r="N93" s="10">
        <v>5</v>
      </c>
      <c r="O93" s="10">
        <v>3</v>
      </c>
      <c r="P93" s="1">
        <v>-1</v>
      </c>
      <c r="S93" s="1" t="s">
        <v>1</v>
      </c>
      <c r="T93" s="3">
        <v>0</v>
      </c>
      <c r="U93" s="3">
        <v>0</v>
      </c>
      <c r="V93" s="10">
        <v>-1</v>
      </c>
      <c r="W93" s="3">
        <v>0</v>
      </c>
      <c r="X93" s="10">
        <v>-4</v>
      </c>
      <c r="Y93" s="1">
        <v>-1</v>
      </c>
      <c r="AB93" s="1" t="s">
        <v>1</v>
      </c>
      <c r="AC93" s="9">
        <v>16</v>
      </c>
      <c r="AD93" s="9">
        <v>266</v>
      </c>
      <c r="AE93" s="9"/>
      <c r="AF93" s="9">
        <v>18</v>
      </c>
      <c r="AG93" s="9"/>
      <c r="AH93" s="1">
        <f t="shared" ref="AH93:AH96" si="34">SUM(AC93:AG93)</f>
        <v>300</v>
      </c>
    </row>
    <row r="94" spans="1:45" ht="30" customHeight="1" x14ac:dyDescent="0.3">
      <c r="A94" s="1" t="s">
        <v>2</v>
      </c>
      <c r="B94" s="2"/>
      <c r="C94" s="2"/>
      <c r="D94" s="2"/>
      <c r="E94" s="2"/>
      <c r="F94" s="2">
        <v>4</v>
      </c>
      <c r="G94" s="1">
        <v>0</v>
      </c>
      <c r="J94" s="1" t="s">
        <v>2</v>
      </c>
      <c r="K94" s="10">
        <v>4</v>
      </c>
      <c r="L94" s="10">
        <v>4</v>
      </c>
      <c r="M94" s="10">
        <v>6</v>
      </c>
      <c r="N94" s="10">
        <v>6</v>
      </c>
      <c r="O94" s="10">
        <v>4</v>
      </c>
      <c r="P94" s="1">
        <v>0</v>
      </c>
      <c r="S94" s="1" t="s">
        <v>2</v>
      </c>
      <c r="T94" s="10">
        <v>-1</v>
      </c>
      <c r="U94" s="10">
        <v>-2</v>
      </c>
      <c r="V94" s="10">
        <v>-1</v>
      </c>
      <c r="W94" s="10">
        <v>-1</v>
      </c>
      <c r="X94" s="3">
        <v>0</v>
      </c>
      <c r="Y94" s="1">
        <v>0</v>
      </c>
      <c r="AB94" s="1" t="s">
        <v>2</v>
      </c>
      <c r="AC94" s="9"/>
      <c r="AD94" s="9"/>
      <c r="AE94" s="9"/>
      <c r="AF94" s="9"/>
      <c r="AG94" s="9">
        <v>350</v>
      </c>
      <c r="AH94" s="1">
        <f t="shared" si="34"/>
        <v>350</v>
      </c>
    </row>
    <row r="95" spans="1:45" ht="30" customHeight="1" x14ac:dyDescent="0.3">
      <c r="A95" s="1" t="s">
        <v>3</v>
      </c>
      <c r="B95" s="2"/>
      <c r="C95" s="2"/>
      <c r="D95" s="2">
        <v>4</v>
      </c>
      <c r="E95" s="2">
        <v>4</v>
      </c>
      <c r="F95" s="2"/>
      <c r="G95" s="1">
        <v>-2</v>
      </c>
      <c r="J95" s="1" t="s">
        <v>3</v>
      </c>
      <c r="K95" s="10">
        <v>2</v>
      </c>
      <c r="L95" s="10">
        <v>2</v>
      </c>
      <c r="M95" s="10">
        <v>4</v>
      </c>
      <c r="N95" s="10">
        <v>4</v>
      </c>
      <c r="O95" s="10">
        <v>2</v>
      </c>
      <c r="P95" s="1">
        <v>-2</v>
      </c>
      <c r="S95" s="1" t="s">
        <v>3</v>
      </c>
      <c r="T95" s="10">
        <v>-5</v>
      </c>
      <c r="U95" s="10">
        <v>-4</v>
      </c>
      <c r="V95" s="3">
        <v>0</v>
      </c>
      <c r="W95" s="3">
        <v>0</v>
      </c>
      <c r="X95" s="10">
        <v>-5</v>
      </c>
      <c r="Y95" s="1">
        <v>-2</v>
      </c>
      <c r="AB95" s="1" t="s">
        <v>3</v>
      </c>
      <c r="AC95" s="9"/>
      <c r="AD95" s="9"/>
      <c r="AE95" s="9">
        <v>28</v>
      </c>
      <c r="AF95" s="9">
        <v>272</v>
      </c>
      <c r="AG95" s="9"/>
      <c r="AH95" s="1">
        <f t="shared" si="34"/>
        <v>300</v>
      </c>
    </row>
    <row r="96" spans="1:45" ht="30" customHeight="1" x14ac:dyDescent="0.3">
      <c r="A96" s="1" t="s">
        <v>4</v>
      </c>
      <c r="B96" s="2"/>
      <c r="C96" s="2"/>
      <c r="D96" s="2">
        <v>6</v>
      </c>
      <c r="E96" s="2"/>
      <c r="F96" s="2"/>
      <c r="G96" s="1">
        <v>0</v>
      </c>
      <c r="J96" s="1" t="s">
        <v>4</v>
      </c>
      <c r="K96" s="10">
        <v>4</v>
      </c>
      <c r="L96" s="10">
        <v>4</v>
      </c>
      <c r="M96" s="10">
        <v>6</v>
      </c>
      <c r="N96" s="10">
        <v>6</v>
      </c>
      <c r="O96" s="10">
        <v>4</v>
      </c>
      <c r="P96" s="1">
        <v>0</v>
      </c>
      <c r="S96" s="1" t="s">
        <v>4</v>
      </c>
      <c r="T96" s="10">
        <v>-2</v>
      </c>
      <c r="U96" s="10">
        <v>-1</v>
      </c>
      <c r="V96" s="3">
        <v>0</v>
      </c>
      <c r="W96" s="10">
        <v>-1</v>
      </c>
      <c r="X96" s="10">
        <v>-2</v>
      </c>
      <c r="Y96" s="1">
        <v>0</v>
      </c>
      <c r="AB96" s="1" t="s">
        <v>4</v>
      </c>
      <c r="AC96" s="9"/>
      <c r="AD96" s="9"/>
      <c r="AE96" s="9">
        <v>250</v>
      </c>
      <c r="AF96" s="9"/>
      <c r="AG96" s="9"/>
      <c r="AH96" s="1">
        <f t="shared" si="34"/>
        <v>250</v>
      </c>
    </row>
    <row r="97" spans="1:33" ht="30" customHeight="1" x14ac:dyDescent="0.3">
      <c r="A97" s="1" t="s">
        <v>20</v>
      </c>
      <c r="B97" s="1">
        <v>4</v>
      </c>
      <c r="C97" s="1">
        <v>4</v>
      </c>
      <c r="D97" s="1">
        <v>6</v>
      </c>
      <c r="E97" s="1">
        <v>6</v>
      </c>
      <c r="F97" s="1">
        <v>4</v>
      </c>
      <c r="J97" s="1" t="s">
        <v>20</v>
      </c>
      <c r="K97" s="1" cm="1">
        <f t="array" ref="K97:O97">B97:F97</f>
        <v>4</v>
      </c>
      <c r="L97" s="1">
        <v>4</v>
      </c>
      <c r="M97" s="1">
        <v>6</v>
      </c>
      <c r="N97" s="1">
        <v>6</v>
      </c>
      <c r="O97" s="1">
        <v>4</v>
      </c>
      <c r="S97" s="1" t="s">
        <v>20</v>
      </c>
      <c r="T97" s="1" cm="1">
        <f t="array" ref="T97:X97">B97:F97</f>
        <v>4</v>
      </c>
      <c r="U97" s="1">
        <v>4</v>
      </c>
      <c r="V97" s="1">
        <v>6</v>
      </c>
      <c r="W97" s="1">
        <v>6</v>
      </c>
      <c r="X97" s="1">
        <v>4</v>
      </c>
      <c r="AB97" s="1" t="s">
        <v>10</v>
      </c>
      <c r="AC97" s="1">
        <f>SUM(AC92:AC96)</f>
        <v>242</v>
      </c>
      <c r="AD97" s="1">
        <f t="shared" ref="AD97:AG97" si="35">SUM(AD92:AD96)</f>
        <v>266</v>
      </c>
      <c r="AE97" s="1">
        <f t="shared" si="35"/>
        <v>278</v>
      </c>
      <c r="AF97" s="1">
        <f t="shared" si="35"/>
        <v>290</v>
      </c>
      <c r="AG97" s="1">
        <f t="shared" si="35"/>
        <v>374</v>
      </c>
    </row>
  </sheetData>
  <mergeCells count="46">
    <mergeCell ref="A90:G90"/>
    <mergeCell ref="J90:P90"/>
    <mergeCell ref="S90:Y90"/>
    <mergeCell ref="AB90:AH90"/>
    <mergeCell ref="A70:G70"/>
    <mergeCell ref="J70:P70"/>
    <mergeCell ref="S70:Y70"/>
    <mergeCell ref="AB70:AH70"/>
    <mergeCell ref="AM70:AS70"/>
    <mergeCell ref="A80:G80"/>
    <mergeCell ref="J80:P80"/>
    <mergeCell ref="S80:Y80"/>
    <mergeCell ref="AB80:AH80"/>
    <mergeCell ref="AM80:AS80"/>
    <mergeCell ref="A50:G50"/>
    <mergeCell ref="J50:P50"/>
    <mergeCell ref="S50:Y50"/>
    <mergeCell ref="AB50:AH50"/>
    <mergeCell ref="AM50:AS50"/>
    <mergeCell ref="A60:G60"/>
    <mergeCell ref="J60:P60"/>
    <mergeCell ref="S60:Y60"/>
    <mergeCell ref="AB60:AH60"/>
    <mergeCell ref="AM60:AS60"/>
    <mergeCell ref="A30:G30"/>
    <mergeCell ref="J30:P30"/>
    <mergeCell ref="S30:Y30"/>
    <mergeCell ref="AB30:AH30"/>
    <mergeCell ref="AM30:AS30"/>
    <mergeCell ref="A40:G40"/>
    <mergeCell ref="J40:P40"/>
    <mergeCell ref="S40:Y40"/>
    <mergeCell ref="AB40:AH40"/>
    <mergeCell ref="AM40:AS40"/>
    <mergeCell ref="AM10:AS10"/>
    <mergeCell ref="A20:G20"/>
    <mergeCell ref="J20:P20"/>
    <mergeCell ref="S20:Y20"/>
    <mergeCell ref="AB20:AH20"/>
    <mergeCell ref="AM20:AS20"/>
    <mergeCell ref="A1:G1"/>
    <mergeCell ref="J1:P1"/>
    <mergeCell ref="A10:G10"/>
    <mergeCell ref="J10:P10"/>
    <mergeCell ref="S10:Y10"/>
    <mergeCell ref="AB10:AH10"/>
  </mergeCells>
  <conditionalFormatting sqref="K12:O16">
    <cfRule type="colorScale" priority="72">
      <colorScale>
        <cfvo type="min"/>
        <cfvo type="max"/>
        <color theme="4" tint="0.79998168889431442"/>
        <color theme="5" tint="0.79998168889431442"/>
      </colorScale>
    </cfRule>
  </conditionalFormatting>
  <conditionalFormatting sqref="T12:X16">
    <cfRule type="colorScale" priority="71">
      <colorScale>
        <cfvo type="min"/>
        <cfvo type="max"/>
        <color theme="4" tint="0.79998168889431442"/>
        <color theme="5" tint="0.79998168889431442"/>
      </colorScale>
    </cfRule>
  </conditionalFormatting>
  <conditionalFormatting sqref="AC17:AG17">
    <cfRule type="expression" dxfId="33" priority="68">
      <formula>AC17=T17</formula>
    </cfRule>
  </conditionalFormatting>
  <conditionalFormatting sqref="AH12:AH16">
    <cfRule type="expression" dxfId="32" priority="67">
      <formula>AH12=Y12</formula>
    </cfRule>
  </conditionalFormatting>
  <conditionalFormatting sqref="AN17:AR17">
    <cfRule type="expression" dxfId="31" priority="66">
      <formula>AN17=AE17</formula>
    </cfRule>
  </conditionalFormatting>
  <conditionalFormatting sqref="AS12:AS16">
    <cfRule type="expression" dxfId="30" priority="65">
      <formula>AS12=AJ12</formula>
    </cfRule>
  </conditionalFormatting>
  <conditionalFormatting sqref="K23:O26 L22:O22">
    <cfRule type="colorScale" priority="64">
      <colorScale>
        <cfvo type="min"/>
        <cfvo type="max"/>
        <color theme="4" tint="0.79998168889431442"/>
        <color theme="5" tint="0.79998168889431442"/>
      </colorScale>
    </cfRule>
  </conditionalFormatting>
  <conditionalFormatting sqref="T22:X26">
    <cfRule type="colorScale" priority="63">
      <colorScale>
        <cfvo type="min"/>
        <cfvo type="max"/>
        <color theme="4" tint="0.79998168889431442"/>
        <color theme="5" tint="0.79998168889431442"/>
      </colorScale>
    </cfRule>
  </conditionalFormatting>
  <conditionalFormatting sqref="AC27:AG27">
    <cfRule type="expression" dxfId="29" priority="61">
      <formula>AC27=T27</formula>
    </cfRule>
  </conditionalFormatting>
  <conditionalFormatting sqref="AH22:AH26">
    <cfRule type="expression" dxfId="28" priority="60">
      <formula>AH22=Y22</formula>
    </cfRule>
  </conditionalFormatting>
  <conditionalFormatting sqref="AN27:AR27">
    <cfRule type="expression" dxfId="27" priority="59">
      <formula>AN27=AE27</formula>
    </cfRule>
  </conditionalFormatting>
  <conditionalFormatting sqref="AS22:AS26">
    <cfRule type="expression" dxfId="26" priority="58">
      <formula>AS22=AJ22</formula>
    </cfRule>
  </conditionalFormatting>
  <conditionalFormatting sqref="K33:O36 L32:O32">
    <cfRule type="colorScale" priority="57">
      <colorScale>
        <cfvo type="min"/>
        <cfvo type="max"/>
        <color theme="4" tint="0.79998168889431442"/>
        <color theme="5" tint="0.79998168889431442"/>
      </colorScale>
    </cfRule>
  </conditionalFormatting>
  <conditionalFormatting sqref="T32:X36">
    <cfRule type="colorScale" priority="56">
      <colorScale>
        <cfvo type="min"/>
        <cfvo type="max"/>
        <color theme="4" tint="0.79998168889431442"/>
        <color theme="5" tint="0.79998168889431442"/>
      </colorScale>
    </cfRule>
  </conditionalFormatting>
  <conditionalFormatting sqref="AC37:AG37">
    <cfRule type="expression" dxfId="25" priority="54">
      <formula>AC37=T37</formula>
    </cfRule>
  </conditionalFormatting>
  <conditionalFormatting sqref="AH32:AH36">
    <cfRule type="expression" dxfId="24" priority="53">
      <formula>AH32=Y32</formula>
    </cfRule>
  </conditionalFormatting>
  <conditionalFormatting sqref="K22">
    <cfRule type="colorScale" priority="52">
      <colorScale>
        <cfvo type="min"/>
        <cfvo type="max"/>
        <color theme="4" tint="0.79998168889431442"/>
        <color theme="5" tint="0.79998168889431442"/>
      </colorScale>
    </cfRule>
  </conditionalFormatting>
  <conditionalFormatting sqref="K32">
    <cfRule type="colorScale" priority="51">
      <colorScale>
        <cfvo type="min"/>
        <cfvo type="max"/>
        <color theme="4" tint="0.79998168889431442"/>
        <color theme="5" tint="0.79998168889431442"/>
      </colorScale>
    </cfRule>
  </conditionalFormatting>
  <conditionalFormatting sqref="K43:O46 L42:O42">
    <cfRule type="colorScale" priority="50">
      <colorScale>
        <cfvo type="min"/>
        <cfvo type="max"/>
        <color theme="4" tint="0.79998168889431442"/>
        <color theme="5" tint="0.79998168889431442"/>
      </colorScale>
    </cfRule>
  </conditionalFormatting>
  <conditionalFormatting sqref="T42:X46">
    <cfRule type="colorScale" priority="49">
      <colorScale>
        <cfvo type="min"/>
        <cfvo type="max"/>
        <color theme="4" tint="0.79998168889431442"/>
        <color theme="5" tint="0.79998168889431442"/>
      </colorScale>
    </cfRule>
  </conditionalFormatting>
  <conditionalFormatting sqref="K42">
    <cfRule type="colorScale" priority="47">
      <colorScale>
        <cfvo type="min"/>
        <cfvo type="max"/>
        <color theme="4" tint="0.79998168889431442"/>
        <color theme="5" tint="0.79998168889431442"/>
      </colorScale>
    </cfRule>
  </conditionalFormatting>
  <conditionalFormatting sqref="B3:F7">
    <cfRule type="colorScale" priority="43">
      <colorScale>
        <cfvo type="min"/>
        <cfvo type="max"/>
        <color theme="4" tint="0.79998168889431442"/>
        <color theme="5" tint="0.79998168889431442"/>
      </colorScale>
    </cfRule>
  </conditionalFormatting>
  <conditionalFormatting sqref="K8:O8">
    <cfRule type="expression" dxfId="15" priority="42">
      <formula>K8=XEL8</formula>
    </cfRule>
  </conditionalFormatting>
  <conditionalFormatting sqref="P3:P7">
    <cfRule type="expression" dxfId="14" priority="41">
      <formula>P3=XEQ3</formula>
    </cfRule>
  </conditionalFormatting>
  <conditionalFormatting sqref="K3:O7">
    <cfRule type="colorScale" priority="37">
      <colorScale>
        <cfvo type="min"/>
        <cfvo type="max"/>
        <color theme="4" tint="0.79998168889431442"/>
        <color theme="5" tint="0.79998168889431442"/>
      </colorScale>
    </cfRule>
  </conditionalFormatting>
  <conditionalFormatting sqref="B12:F16">
    <cfRule type="colorScale" priority="36">
      <colorScale>
        <cfvo type="min"/>
        <cfvo type="max"/>
        <color theme="4" tint="0.79998168889431442"/>
        <color theme="5" tint="0.79998168889431442"/>
      </colorScale>
    </cfRule>
  </conditionalFormatting>
  <conditionalFormatting sqref="B22:F26">
    <cfRule type="colorScale" priority="35">
      <colorScale>
        <cfvo type="min"/>
        <cfvo type="max"/>
        <color theme="4" tint="0.79998168889431442"/>
        <color theme="5" tint="0.79998168889431442"/>
      </colorScale>
    </cfRule>
  </conditionalFormatting>
  <conditionalFormatting sqref="B32:F36">
    <cfRule type="colorScale" priority="34">
      <colorScale>
        <cfvo type="min"/>
        <cfvo type="max"/>
        <color theme="4" tint="0.79998168889431442"/>
        <color theme="5" tint="0.79998168889431442"/>
      </colorScale>
    </cfRule>
  </conditionalFormatting>
  <conditionalFormatting sqref="B42:F46">
    <cfRule type="colorScale" priority="33">
      <colorScale>
        <cfvo type="min"/>
        <cfvo type="max"/>
        <color theme="4" tint="0.79998168889431442"/>
        <color theme="5" tint="0.79998168889431442"/>
      </colorScale>
    </cfRule>
  </conditionalFormatting>
  <conditionalFormatting sqref="AC47:AG47">
    <cfRule type="expression" dxfId="13" priority="32">
      <formula>AC47=T47</formula>
    </cfRule>
  </conditionalFormatting>
  <conditionalFormatting sqref="AH42:AH46">
    <cfRule type="expression" dxfId="12" priority="31">
      <formula>AH42=Y42</formula>
    </cfRule>
  </conditionalFormatting>
  <conditionalFormatting sqref="K53:O56 L52:O52">
    <cfRule type="colorScale" priority="30">
      <colorScale>
        <cfvo type="min"/>
        <cfvo type="max"/>
        <color theme="4" tint="0.79998168889431442"/>
        <color theme="5" tint="0.79998168889431442"/>
      </colorScale>
    </cfRule>
  </conditionalFormatting>
  <conditionalFormatting sqref="T52:X56">
    <cfRule type="colorScale" priority="29">
      <colorScale>
        <cfvo type="min"/>
        <cfvo type="max"/>
        <color theme="4" tint="0.79998168889431442"/>
        <color theme="5" tint="0.79998168889431442"/>
      </colorScale>
    </cfRule>
  </conditionalFormatting>
  <conditionalFormatting sqref="K52">
    <cfRule type="colorScale" priority="28">
      <colorScale>
        <cfvo type="min"/>
        <cfvo type="max"/>
        <color theme="4" tint="0.79998168889431442"/>
        <color theme="5" tint="0.79998168889431442"/>
      </colorScale>
    </cfRule>
  </conditionalFormatting>
  <conditionalFormatting sqref="B52:F56">
    <cfRule type="colorScale" priority="27">
      <colorScale>
        <cfvo type="min"/>
        <cfvo type="max"/>
        <color theme="4" tint="0.79998168889431442"/>
        <color theme="5" tint="0.79998168889431442"/>
      </colorScale>
    </cfRule>
  </conditionalFormatting>
  <conditionalFormatting sqref="AC57:AG57">
    <cfRule type="expression" dxfId="11" priority="26">
      <formula>AC57=T57</formula>
    </cfRule>
  </conditionalFormatting>
  <conditionalFormatting sqref="AH52:AH56">
    <cfRule type="expression" dxfId="10" priority="25">
      <formula>AH52=Y52</formula>
    </cfRule>
  </conditionalFormatting>
  <conditionalFormatting sqref="K63:O66 L62:O62">
    <cfRule type="colorScale" priority="24">
      <colorScale>
        <cfvo type="min"/>
        <cfvo type="max"/>
        <color theme="4" tint="0.79998168889431442"/>
        <color theme="5" tint="0.79998168889431442"/>
      </colorScale>
    </cfRule>
  </conditionalFormatting>
  <conditionalFormatting sqref="T62:X66">
    <cfRule type="colorScale" priority="23">
      <colorScale>
        <cfvo type="min"/>
        <cfvo type="max"/>
        <color theme="4" tint="0.79998168889431442"/>
        <color theme="5" tint="0.79998168889431442"/>
      </colorScale>
    </cfRule>
  </conditionalFormatting>
  <conditionalFormatting sqref="K62">
    <cfRule type="colorScale" priority="22">
      <colorScale>
        <cfvo type="min"/>
        <cfvo type="max"/>
        <color theme="4" tint="0.79998168889431442"/>
        <color theme="5" tint="0.79998168889431442"/>
      </colorScale>
    </cfRule>
  </conditionalFormatting>
  <conditionalFormatting sqref="B62:F66">
    <cfRule type="colorScale" priority="21">
      <colorScale>
        <cfvo type="min"/>
        <cfvo type="max"/>
        <color theme="4" tint="0.79998168889431442"/>
        <color theme="5" tint="0.79998168889431442"/>
      </colorScale>
    </cfRule>
  </conditionalFormatting>
  <conditionalFormatting sqref="AC67:AG67">
    <cfRule type="expression" dxfId="7" priority="20">
      <formula>AC67=T67</formula>
    </cfRule>
  </conditionalFormatting>
  <conditionalFormatting sqref="AH62:AH66">
    <cfRule type="expression" dxfId="6" priority="19">
      <formula>AH62=Y62</formula>
    </cfRule>
  </conditionalFormatting>
  <conditionalFormatting sqref="K73:O76 L72:O72">
    <cfRule type="colorScale" priority="18">
      <colorScale>
        <cfvo type="min"/>
        <cfvo type="max"/>
        <color theme="4" tint="0.79998168889431442"/>
        <color theme="5" tint="0.79998168889431442"/>
      </colorScale>
    </cfRule>
  </conditionalFormatting>
  <conditionalFormatting sqref="T72:X76">
    <cfRule type="colorScale" priority="17">
      <colorScale>
        <cfvo type="min"/>
        <cfvo type="max"/>
        <color theme="4" tint="0.79998168889431442"/>
        <color theme="5" tint="0.79998168889431442"/>
      </colorScale>
    </cfRule>
  </conditionalFormatting>
  <conditionalFormatting sqref="K72">
    <cfRule type="colorScale" priority="16">
      <colorScale>
        <cfvo type="min"/>
        <cfvo type="max"/>
        <color theme="4" tint="0.79998168889431442"/>
        <color theme="5" tint="0.79998168889431442"/>
      </colorScale>
    </cfRule>
  </conditionalFormatting>
  <conditionalFormatting sqref="B72:F76">
    <cfRule type="colorScale" priority="15">
      <colorScale>
        <cfvo type="min"/>
        <cfvo type="max"/>
        <color theme="4" tint="0.79998168889431442"/>
        <color theme="5" tint="0.79998168889431442"/>
      </colorScale>
    </cfRule>
  </conditionalFormatting>
  <conditionalFormatting sqref="AC77:AG77">
    <cfRule type="expression" dxfId="5" priority="14">
      <formula>AC77=T77</formula>
    </cfRule>
  </conditionalFormatting>
  <conditionalFormatting sqref="AH72:AH76">
    <cfRule type="expression" dxfId="4" priority="13">
      <formula>AH72=Y72</formula>
    </cfRule>
  </conditionalFormatting>
  <conditionalFormatting sqref="K83:O86 L82:O82">
    <cfRule type="colorScale" priority="12">
      <colorScale>
        <cfvo type="min"/>
        <cfvo type="max"/>
        <color theme="4" tint="0.79998168889431442"/>
        <color theme="5" tint="0.79998168889431442"/>
      </colorScale>
    </cfRule>
  </conditionalFormatting>
  <conditionalFormatting sqref="T82:X86">
    <cfRule type="colorScale" priority="11">
      <colorScale>
        <cfvo type="min"/>
        <cfvo type="max"/>
        <color theme="4" tint="0.79998168889431442"/>
        <color theme="5" tint="0.79998168889431442"/>
      </colorScale>
    </cfRule>
  </conditionalFormatting>
  <conditionalFormatting sqref="K82">
    <cfRule type="colorScale" priority="10">
      <colorScale>
        <cfvo type="min"/>
        <cfvo type="max"/>
        <color theme="4" tint="0.79998168889431442"/>
        <color theme="5" tint="0.79998168889431442"/>
      </colorScale>
    </cfRule>
  </conditionalFormatting>
  <conditionalFormatting sqref="B82:F86">
    <cfRule type="colorScale" priority="9">
      <colorScale>
        <cfvo type="min"/>
        <cfvo type="max"/>
        <color theme="4" tint="0.79998168889431442"/>
        <color theme="5" tint="0.79998168889431442"/>
      </colorScale>
    </cfRule>
  </conditionalFormatting>
  <conditionalFormatting sqref="AC87:AG87">
    <cfRule type="expression" dxfId="3" priority="8">
      <formula>AC87=T87</formula>
    </cfRule>
  </conditionalFormatting>
  <conditionalFormatting sqref="AH82:AH86">
    <cfRule type="expression" dxfId="2" priority="7">
      <formula>AH82=Y82</formula>
    </cfRule>
  </conditionalFormatting>
  <conditionalFormatting sqref="K93:O96 L92:O92">
    <cfRule type="colorScale" priority="6">
      <colorScale>
        <cfvo type="min"/>
        <cfvo type="max"/>
        <color theme="4" tint="0.79998168889431442"/>
        <color theme="5" tint="0.79998168889431442"/>
      </colorScale>
    </cfRule>
  </conditionalFormatting>
  <conditionalFormatting sqref="T92:X96">
    <cfRule type="colorScale" priority="5">
      <colorScale>
        <cfvo type="min"/>
        <cfvo type="max"/>
        <color theme="4" tint="0.79998168889431442"/>
        <color theme="5" tint="0.79998168889431442"/>
      </colorScale>
    </cfRule>
  </conditionalFormatting>
  <conditionalFormatting sqref="K92">
    <cfRule type="colorScale" priority="4">
      <colorScale>
        <cfvo type="min"/>
        <cfvo type="max"/>
        <color theme="4" tint="0.79998168889431442"/>
        <color theme="5" tint="0.79998168889431442"/>
      </colorScale>
    </cfRule>
  </conditionalFormatting>
  <conditionalFormatting sqref="B92:F96">
    <cfRule type="colorScale" priority="3">
      <colorScale>
        <cfvo type="min"/>
        <cfvo type="max"/>
        <color theme="4" tint="0.79998168889431442"/>
        <color theme="5" tint="0.79998168889431442"/>
      </colorScale>
    </cfRule>
  </conditionalFormatting>
  <conditionalFormatting sqref="AC97:AG97">
    <cfRule type="expression" dxfId="1" priority="2">
      <formula>AC97=T97</formula>
    </cfRule>
  </conditionalFormatting>
  <conditionalFormatting sqref="AH92:AH96">
    <cfRule type="expression" dxfId="0" priority="1">
      <formula>AH92=Y92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Balance (start)</vt:lpstr>
      <vt:lpstr>Balance (opt)</vt:lpstr>
      <vt:lpstr>Balance (pot)</vt:lpstr>
      <vt:lpstr>Unbalance (start)</vt:lpstr>
      <vt:lpstr>Unbalance (opt)</vt:lpstr>
      <vt:lpstr>Unbalance (pot)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2025-11-01T12:28:16Z</dcterms:modified>
</cp:coreProperties>
</file>